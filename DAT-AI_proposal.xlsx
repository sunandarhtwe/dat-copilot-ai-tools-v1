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bookViews>
  <sheets>
    <sheet name="表紙" sheetId="1" r:id="rId1"/>
    <sheet name="①実施したテストケースを比較" sheetId="3" r:id="rId2"/>
    <sheet name="②2-1_十分性_トレーサビリティ" sheetId="4" r:id="rId3"/>
    <sheet name="②2-2_十分性_3段階比較" sheetId="5" r:id="rId4"/>
    <sheet name="③実施内容" sheetId="6" r:id="rId5"/>
    <sheet name="④効率化_工数" sheetId="7" r:id="rId6"/>
  </sheets>
  <calcPr calcId="144525"/>
  <extLst>
    <ext xmlns:loext="http://schemas.libreoffice.org/" uri="{7626C862-2A13-11E5-B345-FEFF819CDC9F}">
      <loext:extCalcPr stringRefSyntax="ExcelA1"/>
    </ext>
  </extLst>
</workbook>
</file>

<file path=xl/calcChain.xml><?xml version="1.0" encoding="utf-8"?>
<calcChain xmlns="http://schemas.openxmlformats.org/spreadsheetml/2006/main">
  <c r="D12" i="7" l="1"/>
  <c r="C12" i="7"/>
  <c r="E11" i="7"/>
  <c r="F11" i="7" s="1"/>
  <c r="E10" i="7"/>
  <c r="F10" i="7" s="1"/>
  <c r="E9" i="7"/>
  <c r="F9" i="7" s="1"/>
  <c r="E8" i="7"/>
  <c r="F8" i="7" s="1"/>
  <c r="E7" i="7"/>
  <c r="F7" i="7" s="1"/>
  <c r="E12" i="7" l="1"/>
  <c r="F12" i="7" s="1"/>
</calcChain>
</file>

<file path=xl/sharedStrings.xml><?xml version="1.0" encoding="utf-8"?>
<sst xmlns="http://schemas.openxmlformats.org/spreadsheetml/2006/main" count="383" uniqueCount="231">
  <si>
    <t>【題材】投信残高注文画面（申込受付一覧・申込受付確認）</t>
  </si>
  <si>
    <t>案件名</t>
  </si>
  <si>
    <t>依頼元</t>
  </si>
  <si>
    <t>本報告の位置づけ</t>
  </si>
  <si>
    <t>選定理由</t>
  </si>
  <si>
    <t>目次</t>
  </si>
  <si>
    <t>・③実施内容（詳細タイムライン）</t>
  </si>
  <si>
    <t>凡例</t>
  </si>
  <si>
    <t>黄色セル</t>
  </si>
  <si>
    <t>実績値の記入が必要な項目</t>
  </si>
  <si>
    <t>緑色セル</t>
  </si>
  <si>
    <t>橙色セル</t>
  </si>
  <si>
    <t>今後の課題として残る未実施範囲</t>
  </si>
  <si>
    <t>画面</t>
  </si>
  <si>
    <t>No.</t>
  </si>
  <si>
    <t>システム日付</t>
  </si>
  <si>
    <t>申込日付
（先日付）</t>
  </si>
  <si>
    <t>ホスト送信状況</t>
  </si>
  <si>
    <t>バッチ取消フラグ</t>
  </si>
  <si>
    <t>証券口座番号／受付番号</t>
  </si>
  <si>
    <t>期待結果</t>
  </si>
  <si>
    <t>備考</t>
  </si>
  <si>
    <t>申込受付一覧</t>
  </si>
  <si>
    <t>2026/02/25</t>
  </si>
  <si>
    <t>2026/02/27</t>
  </si>
  <si>
    <t>021-0066494 / 0000145661</t>
  </si>
  <si>
    <t>既存仕様の回帰確認</t>
  </si>
  <si>
    <t>021-0307012 / 0000145662</t>
  </si>
  <si>
    <t>027-1041874 / 0000145673</t>
  </si>
  <si>
    <t>027-1041875 / 0000145674</t>
  </si>
  <si>
    <t>034-5200267 / 0000145731</t>
  </si>
  <si>
    <t>034-5200268 / 0000145732</t>
  </si>
  <si>
    <t>021-0307016 / 0000145682</t>
  </si>
  <si>
    <t>038-0012097 / 0000145743</t>
  </si>
  <si>
    <t>申込受付確認</t>
  </si>
  <si>
    <t>要件定義書 対応内容（投信残高注文に関連する範囲）</t>
  </si>
  <si>
    <t>根拠資料</t>
  </si>
  <si>
    <t>対応テストケース</t>
  </si>
  <si>
    <t>カバー状況</t>
  </si>
  <si>
    <t>○ カバー済</t>
  </si>
  <si>
    <t>同状況を申込受付確認画面（一覧の確認ボタン押下後）でも整合して表示する</t>
  </si>
  <si>
    <t>段階</t>
  </si>
  <si>
    <t>実施者／手法</t>
  </si>
  <si>
    <t>検出できた観点</t>
  </si>
  <si>
    <t>検出できなかった観点</t>
  </si>
  <si>
    <t>結果</t>
  </si>
  <si>
    <t>・投信残高注文画面のバッチ取消フラグロジックは、この段階でもレビュー対象に含まれておらず未検出</t>
  </si>
  <si>
    <t>△ 既存ロジックの精度は向上したが、新規ロジックの見落としは継続</t>
  </si>
  <si>
    <t>○ 新規ロジックをすべて検出・カバー</t>
  </si>
  <si>
    <t>①→②→③の検出観点数の推移</t>
  </si>
  <si>
    <t>累積で検出済みの観点数（概算）</t>
  </si>
  <si>
    <t>新規に追加検出した観点数</t>
  </si>
  <si>
    <t>②人的レビュー後</t>
  </si>
  <si>
    <t>③設計書精読後</t>
  </si>
  <si>
    <t>③実施内容　―　投信残高注文画面 詳細タイムライン</t>
  </si>
  <si>
    <t>実施日</t>
  </si>
  <si>
    <t>工程</t>
  </si>
  <si>
    <t>実施内容</t>
  </si>
  <si>
    <t>使用資料／ツール</t>
  </si>
  <si>
    <t>実施結果</t>
  </si>
  <si>
    <t>検出・成果物</t>
  </si>
  <si>
    <t>①テストケース自動生成</t>
  </si>
  <si>
    <t>DAT Copilot Bridge</t>
  </si>
  <si>
    <t>完了</t>
  </si>
  <si>
    <t>②人的レビュー</t>
  </si>
  <si>
    <t>③設計書精読（画面一覧確認）</t>
  </si>
  <si>
    <t>投信残高注文が対象画面であることを特定</t>
  </si>
  <si>
    <t>③設計書精読（ロジック抽出）</t>
  </si>
  <si>
    <t>③設計書精読（取消ボタン制御の抽出）</t>
  </si>
  <si>
    <t>同上</t>
  </si>
  <si>
    <t>④前提条件の是正</t>
  </si>
  <si>
    <t>本会話でのレビュー指摘</t>
  </si>
  <si>
    <t>⑤テストケース作成</t>
  </si>
  <si>
    <t>toshin_zandaka_test_v7.xlsx</t>
  </si>
  <si>
    <t>黄色セル（青字）は実績工数の記入が必要です。数式により削減時間・削減率を自動計算します。</t>
  </si>
  <si>
    <t>削減率</t>
  </si>
  <si>
    <t>要件定義書・機能設計書の読解による対象範囲の特定</t>
  </si>
  <si>
    <t>★実績工数を記入してください</t>
  </si>
  <si>
    <t>バッチ取消フラグ・失効表示ロジックの抽出（設計書精読）</t>
  </si>
  <si>
    <t>取消ボタン表示制御ロジックの抽出</t>
  </si>
  <si>
    <t>合計</t>
  </si>
  <si>
    <t>結論：投信残高注文画面が直接担う4項目はすべてテストケースでカバー済み。本部検印／営業店検印、口座開設バッチ自体のロジックは別画面のため本題材の範囲外とし、他機能への展開時に同様のトレーサビリティ確認を行う対象として明記した。</t>
  </si>
  <si>
    <t>結論：AI生成・人的レビューという2段階だけでは、案件固有の新規ロジック（バッチ取消フラグ）を検出できなかった。設計書の要件定義書レベルでの精読・突合を追加の第3段階として組み込むことで、初めてカバレッジ数値に現れない観点まで含めた十分性を担保できることを、本画面を題材に実証した。</t>
  </si>
  <si>
    <t>①AIツールによる自動生成</t>
  </si>
  <si>
    <t>DAT Copilot Bridge（設計書との比較に基づくカバレッジエンジン）</t>
  </si>
  <si>
    <t>・会社条件371/393の組合せパターン
・標準的な入力検証エラー（エラーコード14840/14850/14860）</t>
  </si>
  <si>
    <t>・TF伝票管理テーブルの新規カラム「バッチ取消フラグ」の存在自体
・「ホスト送信状況9 かつ バッチ取消フラグ1→失効表示」というAND条件ロジック
・申込受付確認画面の取消ボタン表示制御条件</t>
  </si>
  <si>
    <t>△ 主要機能はカバーしたが新規仕様変更（案件1158固有ロジック）は未検出</t>
  </si>
  <si>
    <t>②DATによる人的レビュー</t>
  </si>
  <si>
    <t>AI生成版テストケースを担当者がレビューし、期待結果・前提条件を修正</t>
  </si>
  <si>
    <t>・関連画面（定時定額条件登録）での期待結果の誤り（エラー判定漏れ）
・会社条件[318]の欠落
・標準的な入力検証エラー（エラーコード13220/13170/13320/13180）</t>
  </si>
  <si>
    <t>機能設計書（画面項目13／14-2／21-2）・DBリレーション・変更履歴を1行単位で読解し、要件定義書とも突合</t>
  </si>
  <si>
    <t>・「バッチ取消フラグ」カラムとMFコード[055-3]「失効」表示ロジックを検出
・取消ボタンの表示制御条件（機能設計書13）を検出
・先日付NISA注文（会社条件393）が本ロジックの前提条件であることを特定し、テストデータに反映
・境界値2パターン（フラグのみ／ホスト送信状況のみ）を含む8パターンを体系的にテストケース化</t>
  </si>
  <si>
    <t>特になし（要件定義書トレーサビリティで確認済み、②-1参照）</t>
  </si>
  <si>
    <t>③DATによる人的
「設計書精読（今回実施）」</t>
  </si>
  <si>
    <t>区分</t>
  </si>
  <si>
    <t>項番</t>
  </si>
  <si>
    <t>フェーズ</t>
  </si>
  <si>
    <t>画面・帳票等</t>
  </si>
  <si>
    <t>テスト項目・操作方法</t>
  </si>
  <si>
    <t>期待結果・確認方法</t>
  </si>
  <si>
    <t>実施者</t>
  </si>
  <si>
    <t>検証者</t>
  </si>
  <si>
    <t>検証日</t>
  </si>
  <si>
    <t>F</t>
  </si>
  <si>
    <t>F-1</t>
  </si>
  <si>
    <t>結合</t>
  </si>
  <si>
    <t>投信残高注文
（申込受付一覧）</t>
  </si>
  <si>
    <t>■テスト観点
ホスト送信状況が通常コード（未処理）の場合の状況表示確認
■対象データ
データ準備 No.1 を使用する
■操作方法
投信残高注文画面の「申込受付一覧」を表示する</t>
  </si>
  <si>
    <t>・「状況」欄に「未処理」が表示されること
・「失効」表示がされないこと
※シート（データ準備）No.1参照</t>
  </si>
  <si>
    <t>既存仕様のベースケース（回帰確認）</t>
  </si>
  <si>
    <t>F-2</t>
  </si>
  <si>
    <t>■テスト観点
ホスト送信状況＝取消済(9) かつ バッチ取消フラグ＝取消済(1) の場合の「失効」表示確認
★design doc準拠の新規ロジック（ツール生成テストケースに存在しなかった観点）
■対象データ
データ準備 No.4（夜間バッチ実行後）を使用する
■操作方法
夜間バッチ実行後、投信残高注文画面の「申込受付一覧」を表示する</t>
  </si>
  <si>
    <t>・「状況」欄にMFコード[055-3]のコード名称「失効」が表示されること
・確認方法：[MFコード].[コードマスターコード]="055" and [コード番号]="3" のコード名称と一致すること
※シート（データ準備）No.4、シート（判定ロジック決定表）該当行参照</t>
  </si>
  <si>
    <t>設計書（機能設計書14-2／DBリレーション）に基づく新規追加ケース</t>
  </si>
  <si>
    <t>F-3</t>
  </si>
  <si>
    <t>■テスト観点
ホスト送信状況＝取消済(9)だが バッチ取消フラグが立っていない場合の表示確認（境界値）
■対象データ
データ準備 No.2 を使用する
■操作方法
投信残高注文画面の「申込受付一覧」を表示する</t>
  </si>
  <si>
    <t>・「失効」ではなく、通常の取消済コード（MFコード[055-9]相当）が表示されること
・AND条件が正しく判定されており、フラグ無しでは「失効」と誤判定しないこと</t>
  </si>
  <si>
    <t>AND条件の境界値検証</t>
  </si>
  <si>
    <t>F-4</t>
  </si>
  <si>
    <t>■テスト観点
バッチ取消フラグ＝取消済(1)だが ホスト送信状況が取消済でない場合の表示確認（境界値）
■対象データ
データ準備 No.3（夜間バッチ実行後）を使用する
■操作方法
夜間バッチ実行後、投信残高注文画面の「申込受付一覧」を表示する</t>
  </si>
  <si>
    <t>・「失効」が表示されないこと（「未処理」のまま表示されること）
・AND条件が正しく判定されていること</t>
  </si>
  <si>
    <t>AND条件の境界値検証（逆パターン）</t>
  </si>
  <si>
    <t>F-5</t>
  </si>
  <si>
    <t>投信残高注文
（申込受付確認）</t>
  </si>
  <si>
    <t>■テスト観点
申込受付確認画面（一覧の確認ボタン押下後画面）における同一ロジックの確認
■対象データ
データ準備 No.4 を使用する
■操作方法
申込受付一覧の対象行「確認」ボタンを押下する</t>
  </si>
  <si>
    <t>・「取引状況」欄にMFコード[055-3]のコード名称「失効」が表示されること
・入力システム欄等、その他項目が機能設計書の詳細項目通り表示されること</t>
  </si>
  <si>
    <t>画面項目シート21-2「状況」ロジックの確認（一覧・確認画面の整合性確認）</t>
  </si>
  <si>
    <t>G</t>
  </si>
  <si>
    <t>G-1</t>
  </si>
  <si>
    <t>定時定額条件登録
（進捗状況一覧）</t>
  </si>
  <si>
    <t>■テスト観点
ホスト送信状況が通常コード（未処理）の場合の取引状況表示確認
■対象データ
データ準備 No.5 を使用する
■操作方法
定時定額条件登録画面の「進捗状況一覧」より対象行を表示する</t>
  </si>
  <si>
    <t>・「取引状況」欄に「未処理」が表示されること
・「失効」表示がされないこと</t>
  </si>
  <si>
    <t>G-2</t>
  </si>
  <si>
    <t>■テスト観点
ホスト送信状況＝取消済(9) かつ バッチ取消フラグ＝取消済(1) の場合の「失効」表示確認
★design doc準拠の新規ロジック（ツール生成テストケースに存在しなかった観点）
■対象データ
データ準備 No.8（夜間バッチ実行後）を使用する
■操作方法
夜間バッチ実行後、定時定額条件登録画面の「進捗状況一覧」より対象行を表示する</t>
  </si>
  <si>
    <t>・「取引状況」欄にMFコード[328-6]のコード名称「失効」が表示されること
・確認方法：[MFコード].[コードマスターコード]="328" and [コード番号]="6" のコード名称と一致すること</t>
  </si>
  <si>
    <t>要件定義書11.2画面一覧／変更履歴#62に基づく新規追加ケース</t>
  </si>
  <si>
    <t>G-3</t>
  </si>
  <si>
    <t>■テスト観点
ホスト送信状況＝取消済(9)だが バッチ取消フラグが立っていない場合の表示確認（境界値）
■対象データ
データ準備 No.6 を使用する
■操作方法
定時定額条件登録画面の「進捗状況一覧」より対象行を表示する</t>
  </si>
  <si>
    <t>・「失効」ではなく、通常の取消済コードが表示されること</t>
  </si>
  <si>
    <t>G-4</t>
  </si>
  <si>
    <t>■テスト観点
バッチ取消フラグ＝取消済(1)だが ホスト送信状況が取消済でない場合の表示確認（境界値）
■対象データ
データ準備 No.7（夜間バッチ実行後）を使用する
■操作方法
夜間バッチ実行後、定時定額条件登録画面の「進捗状況一覧」より対象行を表示する</t>
  </si>
  <si>
    <t>・「失効」が表示されないこと</t>
  </si>
  <si>
    <t>G-5</t>
  </si>
  <si>
    <t>■テスト観点
検索条件「バッチ失効」チェックONで、G-2データが正しく抽出されること
■対象データ
データ準備 No.8 を使用する
■操作方法
進捗状況一覧画面で検索条件「バッチ失効」のチェックボックスをチェック⇒「検索」ボタンを押下する</t>
  </si>
  <si>
    <t>・「失効」データのみが一覧に抽出表示されること
・「失効」以外のデータ（未処理／処理中／処理済等）が含まれないこと</t>
  </si>
  <si>
    <t>既存の進捗状況一覧パターン仕様（画面レイアウト項番1）との整合確認（案件977ロジックとの共存確認）</t>
  </si>
  <si>
    <t>DATによる人的「設計書精読（今回実施）」</t>
  </si>
  <si>
    <t>AIツールによる自動生成</t>
  </si>
  <si>
    <t>夜間バッチでMFシステムから非課税口座データが連携されない場合、当該非課税口座を未開設状態とし、紐づく先日付NISA注文の取消を行う</t>
  </si>
  <si>
    <t>要件定義書11.1.1 対応事項②</t>
  </si>
  <si>
    <t>No.2,4,6,7,8／No.10,12,14,15,16</t>
  </si>
  <si>
    <t>夜間バッチ処理後の先日付NISA注文状況を、投信残高注文（申込受付一覧）にて表示する</t>
  </si>
  <si>
    <t>要件定義書11.1.1 対応事項③、画面一覧11.2.1</t>
  </si>
  <si>
    <t>No.1〜8（申込受付一覧）</t>
  </si>
  <si>
    <t>機能設計書 画面項目21-2</t>
  </si>
  <si>
    <t>No.9〜16（申込受付確認）</t>
  </si>
  <si>
    <t>確認画面における取消ボタンの表示制御（ホスト送信状況が1/2/9の場合は非表示）</t>
  </si>
  <si>
    <t>機能設計書 画面項目13</t>
  </si>
  <si>
    <t>No.9〜16（申込受付確認、取消ボタン列）</t>
  </si>
  <si>
    <t>②-1 十分性の検証方法　―　要件定義書トレーサビリティ</t>
  </si>
  <si>
    <t>「設計書との比較に基づくカバレッジの数値・一覧」のみでは不十分との指摘を踏まえ、要件定義書「11.1.1．システム機能概要」に記載された対応内容と、実際に作成したテストケースを1行ずつ突合し、要件定義書レベルで見た時のカバー漏れがないかを確認した。
※画面ごとの対象範囲の全体像は「対象範囲サマリー」シートを参照。</t>
  </si>
  <si>
    <t>②-2 十分性の検証方法　―　3段階検出プロセスの比較</t>
  </si>
  <si>
    <t>カバレッジ数値だけでは「設計書に記載されていない観点を検出できたか」は測れない。そこで投信残高注文画面を題材に、AI生成→人的レビュー→設計書精読 の3段階それぞれで何を検出でき、何を検出できなかったかを具体的に突合した。</t>
  </si>
  <si>
    <t>①AI生成</t>
  </si>
  <si>
    <t>本画面に関しては追加検出なし（他画面では2件検出）</t>
  </si>
  <si>
    <t>定時定額条件登録画面についてAIツールがテストケースを自動生成（関連画面として並行実施）</t>
  </si>
  <si>
    <t>16件（A-1〜E-1）生成</t>
  </si>
  <si>
    <t>AI生成版テストケースをDAT担当者がレビューし期待結果・前提条件を修正</t>
  </si>
  <si>
    <t>【SFM-06-001】結合テスト計画兼結果報告書</t>
  </si>
  <si>
    <t>会社条件[318]の欠落、期待結果誤り2件を検出・修正</t>
  </si>
  <si>
    <t>要件定義書「11.2.画面一覧」を確認し、案件1158で変更対象となる画面（進捗状況一覧・投信残高注文・本部検印/営業店検印・申込状況一覧）を特定</t>
  </si>
  <si>
    <t>要件定義書_v4.00.docx</t>
  </si>
  <si>
    <t>機能設計書（画面項目14-2／21-2、DBリレーション）を1行単位で読解し、バッチ取消フラグ×ホスト送信状況の判定ロジックを抽出</t>
  </si>
  <si>
    <t>F03投信伝票確認_030_機能設計書.xls</t>
  </si>
  <si>
    <t>「失効」表示ロジック（MFコード055-3）を検出</t>
  </si>
  <si>
    <t>機能設計書の画面項目13（取消ボタン）を確認し、ホスト送信状況による表示制御条件を抽出</t>
  </si>
  <si>
    <t>取消ボタン非表示条件（1/2/9）を検出</t>
  </si>
  <si>
    <t>先日付NISA注文（会社条件393）が本ロジックの前提であることを特定し、テストデータのシステム日付・申込日付・会社条件を是正</t>
  </si>
  <si>
    <t>全16件にシステム日付／申込日付（先日付）／会社条件393を追加</t>
  </si>
  <si>
    <t>検出した観点をもとに、境界値を含む8パターン×2画面（一覧・確認）＝16件のテストケースを作成</t>
  </si>
  <si>
    <t>テストケース／判定ロジック決定表／データ準備の3シート構成で作成</t>
  </si>
  <si>
    <t>④AI活用による効率化（工数）　―　投信残高注文画面</t>
  </si>
  <si>
    <t>従来（手動）想定工数(h)</t>
  </si>
  <si>
    <t>AI活用実施工数(h)</t>
  </si>
  <si>
    <t>削減時間(h)</t>
  </si>
  <si>
    <t>テストケース作成（16件、境界値含む）</t>
  </si>
  <si>
    <t>★AI支援ありでの実績工数を記入してください</t>
  </si>
  <si>
    <t>テストケースレビュー・前提条件是正（先日付・会社条件393）</t>
  </si>
  <si>
    <t>参考：人手のみで同水準の十分性（3段階検出プロセス相当）を達成しようとした場合、設計書精読を専任担当者が行う必要があり、画面数が多いシステム全体では大幅な工数増が見込まれる。AIツールによる初期生成を土台としつつ、設計書精読の工程を明示的にテスト工程に組み込むことで、精度と工数のバランスを取ることができる。</t>
  </si>
  <si>
    <t>AI活用結合テスト検証報告書</t>
  </si>
  <si>
    <t>1158【FR】(全社)非課税口座開設日の先日付NISA注文対応</t>
  </si>
  <si>
    <t>藤村 大地／DIR金融フロントシステム第二部</t>
  </si>
  <si>
    <t>元々の依頼（結合テスト以降のテスト工程をAI活用によりDATのみで実施できることの検証・報告）に対し、対象範囲全体のうち「投信残高注文画面」1機能を代表例として選び、①実施したテストケース ②十分性および検証方法 ③実施内容 ④AI活用による効率化 の4点を他機能にも展開可能な粒度で深掘りして報告する。</t>
  </si>
  <si>
    <t>投信残高注文画面は、①先日付NISA注文の受付（会社条件393）②夜間バッチによる口座未開設時の自動取消（バッチ取消フラグ）③画面表示ロジック（MFコード055・取消ボタン制御）の3層が1画面に集約されており、AI生成・人的レビュー・設計書精読という3段階の検証プロセスの効果を最も明確に示せるため。</t>
  </si>
  <si>
    <t>・②-1 十分性検証（要件定義書トレーサビリティ）</t>
  </si>
  <si>
    <t>・②-2 十分性検証（3段階検出プロセスの比較）</t>
  </si>
  <si>
    <t>・④AI活用による効率化（工数）</t>
  </si>
  <si>
    <t>AI生成・人的レビューいずれでも検出されず、設計書精読により新たに検出した観点</t>
  </si>
  <si>
    <t>①実施したテストケース　―　投信残高注文画面　全16件</t>
  </si>
  <si>
    <t>対象ロジック：ホスト送信状況×バッチ取消フラグによる「失効」表示判定、および申込受付確認画面の取消ボタン表示制御。すべてのケースは会社条件[393]=1（非課税簡易開設先日付NISA注文可能フラグ：可）のもとで申込日付がシステム日付より先日付（先日付NISA注文）であることを前提とする。</t>
  </si>
  <si>
    <t>会社条件[393]</t>
  </si>
  <si>
    <t>393=1（非課税簡易開設先日付NISA注文可能フラグ：可）</t>
  </si>
  <si>
    <t>未処理(0)</t>
  </si>
  <si>
    <t>なし(0)</t>
  </si>
  <si>
    <t>MFコード[055-0]の名称「未処理」</t>
  </si>
  <si>
    <t>あり(1)</t>
  </si>
  <si>
    <t>MFコード[055-0]の名称「未処理」（変化なし、「失効」ではない）</t>
  </si>
  <si>
    <t>★境界値：バッチ取消フラグのみが立ちホスト送信状況が9でない場合は「失効」としないこと</t>
  </si>
  <si>
    <t>処理中(1)</t>
  </si>
  <si>
    <t>MFコード[055-1]の名称「処理中」</t>
  </si>
  <si>
    <t>MFコード[055-1]の名称「処理中」（変化なし、「失効」ではない）</t>
  </si>
  <si>
    <t>処理済(2)</t>
  </si>
  <si>
    <t>MFコード[055-2]の名称「処理済」</t>
  </si>
  <si>
    <t>MFコード[055-2]の名称「処理済」（変化なし、「失効」ではない）</t>
  </si>
  <si>
    <t>取消済(9)</t>
  </si>
  <si>
    <t>MFコード[055-9]相当の通常の取消済コード（「失効」ではない）</t>
  </si>
  <si>
    <t>★境界値：ホスト送信状況9のみでフラグが立たない場合は「失効」としないこと</t>
  </si>
  <si>
    <t>MFコード[055-3]の名称「失効」</t>
  </si>
  <si>
    <t>★新規ロジック：design doc準拠（ホスト送信状況9 かつ バッチ取消フラグ1）</t>
  </si>
  <si>
    <t>MFコード[055-0]の名称「未処理」／取消ボタン：表示（ホスト送信状況が0のため）</t>
  </si>
  <si>
    <t>MFコード[055-0]の名称「未処理」（変化なし、「失効」ではない）／取消ボタン：表示（ホスト送信状況が0のため）</t>
  </si>
  <si>
    <t>MFコード[055-1]の名称「処理中」／取消ボタン：非表示（ホスト送信状況が1のため）</t>
  </si>
  <si>
    <t>MFコード[055-1]の名称「処理中」（変化なし、「失効」ではない）／取消ボタン：非表示（ホスト送信状況が1のため）</t>
  </si>
  <si>
    <t>MFコード[055-2]の名称「処理済」／取消ボタン：非表示（ホスト送信状況が2のため）</t>
  </si>
  <si>
    <t>MFコード[055-2]の名称「処理済」（変化なし、「失効」ではない）／取消ボタン：非表示（ホスト送信状況が2のため）</t>
  </si>
  <si>
    <t>MFコード[055-9]相当の通常の取消済コード（「失効」ではない）／取消ボタン：非表示（ホスト送信状況が9のため）</t>
  </si>
  <si>
    <t>MFコード[055-3]の名称「失効」／取消ボタン：非表示（ホスト送信状況の実値が9のため）</t>
  </si>
  <si>
    <t>内訳：申込受付一覧8件（No.1〜8）＋申込受付確認8件（No.9〜16）＝計16件</t>
  </si>
  <si>
    <t>うち★緑色＝10件が設計書精読で新規検出した観点（本命ロジック2件＋境界値8件）、残り6件は既存仕様の回帰確認</t>
  </si>
  <si>
    <t>・①実施したテストケースを比較</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</si>
</sst>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 x14ac:knownFonts="1">
    <font>
      <sz val="11"/>
      <color theme="1"/>
      <name val="Calibri"/>
      <family val="2"/>
      <charset val="1"/>
    </font>
    <font>
      <b/>
      <sz val="10"/>
      <name val="BIZ UDPゴシック"/>
      <family val="2"/>
    </font>
    <font>
      <b/>
      <sz val="10"/>
      <color rgb="FFFFFFFF"/>
      <name val="BIZ UDPゴシック"/>
      <family val="2"/>
    </font>
    <font>
      <sz val="10"/>
      <name val="BIZ UDPゴシック"/>
      <family val="2"/>
    </font>
    <font>
      <b/>
      <sz val="11"/>
      <color theme="1"/>
      <name val="BIZ UDPゴシック"/>
      <family val="2"/>
    </font>
    <font>
      <b/>
      <sz val="16"/>
      <name val="BIZ UDPゴシック"/>
      <family val="2"/>
    </font>
    <font>
      <sz val="11"/>
      <color theme="1"/>
      <name val="BIZ UDPゴシック"/>
      <family val="2"/>
    </font>
    <font>
      <sz val="10"/>
      <color rgb="FF0000FF"/>
      <name val="BIZ UDPゴシック"/>
      <family val="2"/>
    </font>
    <font>
      <i/>
      <sz val="9"/>
      <color rgb="FFFF0000"/>
      <name val="BIZ UDPゴシック"/>
      <family val="2"/>
    </font>
    <font>
      <b/>
      <sz val="12"/>
      <color rgb="FF1F4E78"/>
      <name val="BIZ UDPゴシック"/>
      <family val="2"/>
    </font>
  </fonts>
  <fills count="11">
    <fill>
      <patternFill patternType="none"/>
    </fill>
    <fill>
      <patternFill patternType="gray125"/>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
      <patternFill patternType="solid">
        <fgColor rgb="FF1F4E78"/>
        <bgColor rgb="FF003366"/>
      </patternFill>
    </fill>
    <fill>
      <patternFill patternType="solid">
        <fgColor rgb="FFD9E1F2"/>
        <bgColor rgb="FFE2EFDA"/>
      </patternFill>
    </fill>
    <fill>
      <patternFill patternType="solid">
        <fgColor rgb="FF4472C4"/>
      </patternFill>
    </fill>
    <fill>
      <patternFill patternType="solid">
        <fgColor rgb="FFFFF2CC"/>
      </patternFill>
    </fill>
    <fill>
      <patternFill patternType="solid">
        <fgColor theme="3" tint="0.59999389629810485"/>
        <bgColor indexed="64"/>
      </patternFill>
    </fill>
    <fill>
      <patternFill patternType="solid">
        <fgColor theme="9" tint="0.79998168889431442"/>
        <bgColor indexed="64"/>
      </patternFill>
    </fill>
  </fills>
  <borders count="6">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0" xfId="0" applyFont="1" applyBorder="1" applyAlignment="1">
      <alignment horizontal="left" vertical="top"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9" borderId="0" xfId="0" applyFont="1" applyFill="1" applyAlignment="1"/>
    <xf numFmtId="0" fontId="4" fillId="9" borderId="0" xfId="0" applyFont="1" applyFill="1"/>
    <xf numFmtId="0" fontId="4" fillId="10" borderId="0" xfId="0" applyFont="1" applyFill="1"/>
    <xf numFmtId="0" fontId="5" fillId="0" borderId="0" xfId="0" applyFont="1"/>
    <xf numFmtId="0" fontId="6" fillId="0" borderId="0" xfId="0" applyFont="1"/>
    <xf numFmtId="0" fontId="3" fillId="0" borderId="0" xfId="0" applyFont="1" applyBorder="1" applyAlignment="1">
      <alignment horizontal="left" vertical="top" wrapText="1"/>
    </xf>
    <xf numFmtId="0" fontId="1" fillId="0" borderId="0" xfId="0" applyFont="1"/>
    <xf numFmtId="14" fontId="3" fillId="0" borderId="1" xfId="0" applyNumberFormat="1" applyFont="1" applyBorder="1" applyAlignment="1">
      <alignment horizontal="center" vertical="center" wrapText="1"/>
    </xf>
    <xf numFmtId="14" fontId="3" fillId="3"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0" xfId="0" applyFont="1"/>
    <xf numFmtId="164" fontId="3" fillId="0" borderId="1" xfId="0" applyNumberFormat="1" applyFont="1" applyBorder="1" applyAlignment="1">
      <alignment horizontal="center" vertical="center" wrapText="1"/>
    </xf>
    <xf numFmtId="0" fontId="1" fillId="6" borderId="1" xfId="0"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0" fontId="9" fillId="0" borderId="0" xfId="0" applyFont="1"/>
    <xf numFmtId="0" fontId="3" fillId="0" borderId="0" xfId="0" applyFont="1"/>
    <xf numFmtId="0" fontId="3" fillId="0" borderId="2" xfId="0" applyFont="1" applyBorder="1" applyAlignment="1">
      <alignment horizontal="left" vertical="top" wrapText="1"/>
    </xf>
    <xf numFmtId="0" fontId="3" fillId="0" borderId="3" xfId="0" applyFont="1" applyBorder="1"/>
    <xf numFmtId="0" fontId="3" fillId="0" borderId="4" xfId="0" applyFont="1" applyBorder="1"/>
    <xf numFmtId="0" fontId="3" fillId="0" borderId="5" xfId="0" applyFont="1" applyBorder="1"/>
    <xf numFmtId="0" fontId="6" fillId="2" borderId="2" xfId="0" applyFont="1" applyFill="1" applyBorder="1"/>
    <xf numFmtId="0" fontId="3" fillId="0" borderId="2" xfId="0" applyFont="1" applyBorder="1"/>
    <xf numFmtId="0" fontId="6" fillId="3" borderId="2" xfId="0" applyFont="1" applyFill="1" applyBorder="1"/>
    <xf numFmtId="0" fontId="6" fillId="4" borderId="2" xfId="0" applyFont="1" applyFill="1" applyBorder="1"/>
    <xf numFmtId="0" fontId="1" fillId="9" borderId="2" xfId="0" applyFont="1" applyFill="1" applyBorder="1"/>
    <xf numFmtId="0" fontId="1" fillId="0" borderId="2" xfId="0" applyFont="1" applyBorder="1" applyAlignment="1">
      <alignment vertical="center"/>
    </xf>
    <xf numFmtId="0" fontId="6" fillId="10" borderId="0" xfId="0" applyFont="1" applyFill="1"/>
    <xf numFmtId="0" fontId="2"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0"/>
  <sheetViews>
    <sheetView tabSelected="1" zoomScaleNormal="100" workbookViewId="0"/>
  </sheetViews>
  <sheetFormatPr defaultColWidth="8.7109375" defaultRowHeight="13.5" x14ac:dyDescent="0.15"/>
  <cols>
    <col min="1" max="1" width="8.7109375" style="11"/>
    <col min="2" max="2" width="16" style="11" customWidth="1"/>
    <col min="3" max="3" width="95" style="11" customWidth="1"/>
    <col min="4" max="16384" width="8.7109375" style="11"/>
  </cols>
  <sheetData>
    <row r="2" spans="2:3" ht="18.75" x14ac:dyDescent="0.2">
      <c r="B2" s="10" t="s">
        <v>190</v>
      </c>
    </row>
    <row r="3" spans="2:3" ht="14.25" x14ac:dyDescent="0.15">
      <c r="B3" s="21" t="s">
        <v>0</v>
      </c>
    </row>
    <row r="5" spans="2:3" ht="30" customHeight="1" x14ac:dyDescent="0.15">
      <c r="B5" s="32" t="s">
        <v>1</v>
      </c>
      <c r="C5" s="23" t="s">
        <v>191</v>
      </c>
    </row>
    <row r="6" spans="2:3" ht="30" customHeight="1" x14ac:dyDescent="0.15">
      <c r="B6" s="32" t="s">
        <v>2</v>
      </c>
      <c r="C6" s="23" t="s">
        <v>192</v>
      </c>
    </row>
    <row r="7" spans="2:3" ht="60" customHeight="1" x14ac:dyDescent="0.15">
      <c r="B7" s="32" t="s">
        <v>3</v>
      </c>
      <c r="C7" s="23" t="s">
        <v>193</v>
      </c>
    </row>
    <row r="8" spans="2:3" ht="41.25" customHeight="1" x14ac:dyDescent="0.15">
      <c r="B8" s="32" t="s">
        <v>4</v>
      </c>
      <c r="C8" s="23" t="s">
        <v>194</v>
      </c>
    </row>
    <row r="10" spans="2:3" x14ac:dyDescent="0.15">
      <c r="B10" s="31" t="s">
        <v>5</v>
      </c>
    </row>
    <row r="11" spans="2:3" x14ac:dyDescent="0.15">
      <c r="C11" s="24" t="s">
        <v>230</v>
      </c>
    </row>
    <row r="12" spans="2:3" x14ac:dyDescent="0.15">
      <c r="C12" s="25" t="s">
        <v>195</v>
      </c>
    </row>
    <row r="13" spans="2:3" x14ac:dyDescent="0.15">
      <c r="C13" s="25" t="s">
        <v>196</v>
      </c>
    </row>
    <row r="14" spans="2:3" x14ac:dyDescent="0.15">
      <c r="C14" s="25" t="s">
        <v>6</v>
      </c>
    </row>
    <row r="15" spans="2:3" x14ac:dyDescent="0.15">
      <c r="C15" s="26" t="s">
        <v>197</v>
      </c>
    </row>
    <row r="17" spans="2:3" x14ac:dyDescent="0.15">
      <c r="B17" s="31" t="s">
        <v>7</v>
      </c>
    </row>
    <row r="18" spans="2:3" x14ac:dyDescent="0.15">
      <c r="B18" s="27" t="s">
        <v>8</v>
      </c>
      <c r="C18" s="28" t="s">
        <v>9</v>
      </c>
    </row>
    <row r="19" spans="2:3" x14ac:dyDescent="0.15">
      <c r="B19" s="29" t="s">
        <v>10</v>
      </c>
      <c r="C19" s="28" t="s">
        <v>198</v>
      </c>
    </row>
    <row r="20" spans="2:3" x14ac:dyDescent="0.15">
      <c r="B20" s="30" t="s">
        <v>11</v>
      </c>
      <c r="C20" s="28"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8"/>
  <sheetViews>
    <sheetView zoomScaleNormal="100" workbookViewId="0"/>
  </sheetViews>
  <sheetFormatPr defaultColWidth="8.7109375" defaultRowHeight="13.5" x14ac:dyDescent="0.15"/>
  <cols>
    <col min="1" max="1" width="5" style="11" customWidth="1"/>
    <col min="2" max="4" width="12" style="11" customWidth="1"/>
    <col min="5" max="5" width="15.7109375" style="11" customWidth="1"/>
    <col min="6" max="6" width="24.85546875" style="11" customWidth="1"/>
    <col min="7" max="7" width="14" style="11" customWidth="1"/>
    <col min="8" max="8" width="22" style="11" customWidth="1"/>
    <col min="9" max="9" width="40" style="11" customWidth="1"/>
    <col min="10" max="10" width="44" style="11" customWidth="1"/>
    <col min="11" max="16384" width="8.7109375" style="11"/>
  </cols>
  <sheetData>
    <row r="2" spans="2:13" s="11" customFormat="1" ht="18.75" x14ac:dyDescent="0.2">
      <c r="B2" s="10" t="s">
        <v>199</v>
      </c>
    </row>
    <row r="4" spans="2:13" s="11" customFormat="1" ht="45.75" customHeight="1" x14ac:dyDescent="0.15">
      <c r="B4" s="12" t="s">
        <v>200</v>
      </c>
      <c r="C4" s="12"/>
      <c r="D4" s="12"/>
      <c r="E4" s="12"/>
      <c r="F4" s="12"/>
      <c r="G4" s="12"/>
      <c r="H4" s="12"/>
      <c r="I4" s="12"/>
      <c r="J4" s="12"/>
      <c r="K4" s="12"/>
      <c r="L4" s="12"/>
      <c r="M4" s="12"/>
    </row>
    <row r="5" spans="2:13" s="11" customFormat="1" x14ac:dyDescent="0.15">
      <c r="B5" s="7" t="s">
        <v>147</v>
      </c>
      <c r="C5" s="8"/>
      <c r="D5" s="8"/>
      <c r="E5" s="8"/>
    </row>
    <row r="6" spans="2:13" s="11" customFormat="1" ht="24" x14ac:dyDescent="0.15">
      <c r="B6" s="2" t="s">
        <v>14</v>
      </c>
      <c r="C6" s="2" t="s">
        <v>13</v>
      </c>
      <c r="D6" s="2" t="s">
        <v>15</v>
      </c>
      <c r="E6" s="2" t="s">
        <v>16</v>
      </c>
      <c r="F6" s="2" t="s">
        <v>201</v>
      </c>
      <c r="G6" s="2" t="s">
        <v>17</v>
      </c>
      <c r="H6" s="2" t="s">
        <v>18</v>
      </c>
      <c r="I6" s="2" t="s">
        <v>19</v>
      </c>
      <c r="J6" s="2" t="s">
        <v>20</v>
      </c>
      <c r="K6" s="2" t="s">
        <v>21</v>
      </c>
    </row>
    <row r="7" spans="2:13" s="11" customFormat="1" ht="39.75" customHeight="1" x14ac:dyDescent="0.15">
      <c r="B7" s="3">
        <v>1</v>
      </c>
      <c r="C7" s="3" t="s">
        <v>22</v>
      </c>
      <c r="D7" s="3" t="s">
        <v>23</v>
      </c>
      <c r="E7" s="3" t="s">
        <v>24</v>
      </c>
      <c r="F7" s="3" t="s">
        <v>202</v>
      </c>
      <c r="G7" s="3" t="s">
        <v>203</v>
      </c>
      <c r="H7" s="3" t="s">
        <v>204</v>
      </c>
      <c r="I7" s="3" t="s">
        <v>25</v>
      </c>
      <c r="J7" s="4" t="s">
        <v>205</v>
      </c>
      <c r="K7" s="4" t="s">
        <v>26</v>
      </c>
    </row>
    <row r="8" spans="2:13" s="11" customFormat="1" ht="39.75" customHeight="1" x14ac:dyDescent="0.15">
      <c r="B8" s="5">
        <v>2</v>
      </c>
      <c r="C8" s="5" t="s">
        <v>22</v>
      </c>
      <c r="D8" s="5" t="s">
        <v>23</v>
      </c>
      <c r="E8" s="5" t="s">
        <v>24</v>
      </c>
      <c r="F8" s="5" t="s">
        <v>202</v>
      </c>
      <c r="G8" s="5" t="s">
        <v>203</v>
      </c>
      <c r="H8" s="5" t="s">
        <v>206</v>
      </c>
      <c r="I8" s="5" t="s">
        <v>27</v>
      </c>
      <c r="J8" s="6" t="s">
        <v>207</v>
      </c>
      <c r="K8" s="6" t="s">
        <v>208</v>
      </c>
    </row>
    <row r="9" spans="2:13" s="11" customFormat="1" ht="39.75" customHeight="1" x14ac:dyDescent="0.15">
      <c r="B9" s="3">
        <v>3</v>
      </c>
      <c r="C9" s="3" t="s">
        <v>22</v>
      </c>
      <c r="D9" s="3" t="s">
        <v>23</v>
      </c>
      <c r="E9" s="3" t="s">
        <v>24</v>
      </c>
      <c r="F9" s="3" t="s">
        <v>202</v>
      </c>
      <c r="G9" s="3" t="s">
        <v>209</v>
      </c>
      <c r="H9" s="3" t="s">
        <v>204</v>
      </c>
      <c r="I9" s="3" t="s">
        <v>28</v>
      </c>
      <c r="J9" s="4" t="s">
        <v>210</v>
      </c>
      <c r="K9" s="4" t="s">
        <v>26</v>
      </c>
    </row>
    <row r="10" spans="2:13" s="11" customFormat="1" ht="39.75" customHeight="1" x14ac:dyDescent="0.15">
      <c r="B10" s="5">
        <v>4</v>
      </c>
      <c r="C10" s="5" t="s">
        <v>22</v>
      </c>
      <c r="D10" s="5" t="s">
        <v>23</v>
      </c>
      <c r="E10" s="5" t="s">
        <v>24</v>
      </c>
      <c r="F10" s="5" t="s">
        <v>202</v>
      </c>
      <c r="G10" s="5" t="s">
        <v>209</v>
      </c>
      <c r="H10" s="5" t="s">
        <v>206</v>
      </c>
      <c r="I10" s="5" t="s">
        <v>29</v>
      </c>
      <c r="J10" s="6" t="s">
        <v>211</v>
      </c>
      <c r="K10" s="6" t="s">
        <v>208</v>
      </c>
    </row>
    <row r="11" spans="2:13" s="11" customFormat="1" ht="39.75" customHeight="1" x14ac:dyDescent="0.15">
      <c r="B11" s="3">
        <v>5</v>
      </c>
      <c r="C11" s="3" t="s">
        <v>22</v>
      </c>
      <c r="D11" s="3" t="s">
        <v>23</v>
      </c>
      <c r="E11" s="3" t="s">
        <v>24</v>
      </c>
      <c r="F11" s="3" t="s">
        <v>202</v>
      </c>
      <c r="G11" s="3" t="s">
        <v>212</v>
      </c>
      <c r="H11" s="3" t="s">
        <v>204</v>
      </c>
      <c r="I11" s="3" t="s">
        <v>30</v>
      </c>
      <c r="J11" s="4" t="s">
        <v>213</v>
      </c>
      <c r="K11" s="4" t="s">
        <v>26</v>
      </c>
    </row>
    <row r="12" spans="2:13" s="11" customFormat="1" ht="39.75" customHeight="1" x14ac:dyDescent="0.15">
      <c r="B12" s="5">
        <v>6</v>
      </c>
      <c r="C12" s="5" t="s">
        <v>22</v>
      </c>
      <c r="D12" s="5" t="s">
        <v>23</v>
      </c>
      <c r="E12" s="5" t="s">
        <v>24</v>
      </c>
      <c r="F12" s="5" t="s">
        <v>202</v>
      </c>
      <c r="G12" s="5" t="s">
        <v>212</v>
      </c>
      <c r="H12" s="5" t="s">
        <v>206</v>
      </c>
      <c r="I12" s="5" t="s">
        <v>31</v>
      </c>
      <c r="J12" s="6" t="s">
        <v>214</v>
      </c>
      <c r="K12" s="6" t="s">
        <v>208</v>
      </c>
    </row>
    <row r="13" spans="2:13" s="11" customFormat="1" ht="39.75" customHeight="1" x14ac:dyDescent="0.15">
      <c r="B13" s="5">
        <v>7</v>
      </c>
      <c r="C13" s="5" t="s">
        <v>22</v>
      </c>
      <c r="D13" s="5" t="s">
        <v>23</v>
      </c>
      <c r="E13" s="5" t="s">
        <v>24</v>
      </c>
      <c r="F13" s="5" t="s">
        <v>202</v>
      </c>
      <c r="G13" s="5" t="s">
        <v>215</v>
      </c>
      <c r="H13" s="5" t="s">
        <v>204</v>
      </c>
      <c r="I13" s="5" t="s">
        <v>32</v>
      </c>
      <c r="J13" s="6" t="s">
        <v>216</v>
      </c>
      <c r="K13" s="6" t="s">
        <v>217</v>
      </c>
    </row>
    <row r="14" spans="2:13" s="11" customFormat="1" ht="39.75" customHeight="1" x14ac:dyDescent="0.15">
      <c r="B14" s="5">
        <v>8</v>
      </c>
      <c r="C14" s="5" t="s">
        <v>22</v>
      </c>
      <c r="D14" s="5" t="s">
        <v>23</v>
      </c>
      <c r="E14" s="5" t="s">
        <v>24</v>
      </c>
      <c r="F14" s="5" t="s">
        <v>202</v>
      </c>
      <c r="G14" s="5" t="s">
        <v>215</v>
      </c>
      <c r="H14" s="5" t="s">
        <v>206</v>
      </c>
      <c r="I14" s="5" t="s">
        <v>33</v>
      </c>
      <c r="J14" s="6" t="s">
        <v>218</v>
      </c>
      <c r="K14" s="6" t="s">
        <v>219</v>
      </c>
    </row>
    <row r="15" spans="2:13" s="11" customFormat="1" ht="39.75" customHeight="1" x14ac:dyDescent="0.15">
      <c r="B15" s="3">
        <v>9</v>
      </c>
      <c r="C15" s="3" t="s">
        <v>34</v>
      </c>
      <c r="D15" s="3" t="s">
        <v>23</v>
      </c>
      <c r="E15" s="3" t="s">
        <v>24</v>
      </c>
      <c r="F15" s="3" t="s">
        <v>202</v>
      </c>
      <c r="G15" s="3" t="s">
        <v>203</v>
      </c>
      <c r="H15" s="3" t="s">
        <v>204</v>
      </c>
      <c r="I15" s="3" t="s">
        <v>25</v>
      </c>
      <c r="J15" s="4" t="s">
        <v>220</v>
      </c>
      <c r="K15" s="4" t="s">
        <v>26</v>
      </c>
    </row>
    <row r="16" spans="2:13" s="11" customFormat="1" ht="39.75" customHeight="1" x14ac:dyDescent="0.15">
      <c r="B16" s="5">
        <v>10</v>
      </c>
      <c r="C16" s="5" t="s">
        <v>34</v>
      </c>
      <c r="D16" s="5" t="s">
        <v>23</v>
      </c>
      <c r="E16" s="5" t="s">
        <v>24</v>
      </c>
      <c r="F16" s="5" t="s">
        <v>202</v>
      </c>
      <c r="G16" s="5" t="s">
        <v>203</v>
      </c>
      <c r="H16" s="5" t="s">
        <v>206</v>
      </c>
      <c r="I16" s="5" t="s">
        <v>27</v>
      </c>
      <c r="J16" s="6" t="s">
        <v>221</v>
      </c>
      <c r="K16" s="6" t="s">
        <v>208</v>
      </c>
    </row>
    <row r="17" spans="2:14" s="11" customFormat="1" ht="39.75" customHeight="1" x14ac:dyDescent="0.15">
      <c r="B17" s="3">
        <v>11</v>
      </c>
      <c r="C17" s="3" t="s">
        <v>34</v>
      </c>
      <c r="D17" s="3" t="s">
        <v>23</v>
      </c>
      <c r="E17" s="3" t="s">
        <v>24</v>
      </c>
      <c r="F17" s="3" t="s">
        <v>202</v>
      </c>
      <c r="G17" s="3" t="s">
        <v>209</v>
      </c>
      <c r="H17" s="3" t="s">
        <v>204</v>
      </c>
      <c r="I17" s="3" t="s">
        <v>28</v>
      </c>
      <c r="J17" s="4" t="s">
        <v>222</v>
      </c>
      <c r="K17" s="4" t="s">
        <v>26</v>
      </c>
    </row>
    <row r="18" spans="2:14" s="11" customFormat="1" ht="39.75" customHeight="1" x14ac:dyDescent="0.15">
      <c r="B18" s="5">
        <v>12</v>
      </c>
      <c r="C18" s="5" t="s">
        <v>34</v>
      </c>
      <c r="D18" s="5" t="s">
        <v>23</v>
      </c>
      <c r="E18" s="5" t="s">
        <v>24</v>
      </c>
      <c r="F18" s="5" t="s">
        <v>202</v>
      </c>
      <c r="G18" s="5" t="s">
        <v>209</v>
      </c>
      <c r="H18" s="5" t="s">
        <v>206</v>
      </c>
      <c r="I18" s="5" t="s">
        <v>29</v>
      </c>
      <c r="J18" s="6" t="s">
        <v>223</v>
      </c>
      <c r="K18" s="6" t="s">
        <v>208</v>
      </c>
    </row>
    <row r="19" spans="2:14" s="11" customFormat="1" ht="39.75" customHeight="1" x14ac:dyDescent="0.15">
      <c r="B19" s="3">
        <v>13</v>
      </c>
      <c r="C19" s="3" t="s">
        <v>34</v>
      </c>
      <c r="D19" s="3" t="s">
        <v>23</v>
      </c>
      <c r="E19" s="3" t="s">
        <v>24</v>
      </c>
      <c r="F19" s="3" t="s">
        <v>202</v>
      </c>
      <c r="G19" s="3" t="s">
        <v>212</v>
      </c>
      <c r="H19" s="3" t="s">
        <v>204</v>
      </c>
      <c r="I19" s="3" t="s">
        <v>30</v>
      </c>
      <c r="J19" s="4" t="s">
        <v>224</v>
      </c>
      <c r="K19" s="4" t="s">
        <v>26</v>
      </c>
    </row>
    <row r="20" spans="2:14" s="11" customFormat="1" ht="39.75" customHeight="1" x14ac:dyDescent="0.15">
      <c r="B20" s="5">
        <v>14</v>
      </c>
      <c r="C20" s="5" t="s">
        <v>34</v>
      </c>
      <c r="D20" s="5" t="s">
        <v>23</v>
      </c>
      <c r="E20" s="5" t="s">
        <v>24</v>
      </c>
      <c r="F20" s="5" t="s">
        <v>202</v>
      </c>
      <c r="G20" s="5" t="s">
        <v>212</v>
      </c>
      <c r="H20" s="5" t="s">
        <v>206</v>
      </c>
      <c r="I20" s="5" t="s">
        <v>31</v>
      </c>
      <c r="J20" s="6" t="s">
        <v>225</v>
      </c>
      <c r="K20" s="6" t="s">
        <v>208</v>
      </c>
    </row>
    <row r="21" spans="2:14" s="11" customFormat="1" ht="39.75" customHeight="1" x14ac:dyDescent="0.15">
      <c r="B21" s="5">
        <v>15</v>
      </c>
      <c r="C21" s="5" t="s">
        <v>34</v>
      </c>
      <c r="D21" s="5" t="s">
        <v>23</v>
      </c>
      <c r="E21" s="5" t="s">
        <v>24</v>
      </c>
      <c r="F21" s="5" t="s">
        <v>202</v>
      </c>
      <c r="G21" s="5" t="s">
        <v>215</v>
      </c>
      <c r="H21" s="5" t="s">
        <v>204</v>
      </c>
      <c r="I21" s="5" t="s">
        <v>32</v>
      </c>
      <c r="J21" s="6" t="s">
        <v>226</v>
      </c>
      <c r="K21" s="6" t="s">
        <v>217</v>
      </c>
    </row>
    <row r="22" spans="2:14" s="11" customFormat="1" ht="39.75" customHeight="1" x14ac:dyDescent="0.15">
      <c r="B22" s="5">
        <v>16</v>
      </c>
      <c r="C22" s="5" t="s">
        <v>34</v>
      </c>
      <c r="D22" s="5" t="s">
        <v>23</v>
      </c>
      <c r="E22" s="5" t="s">
        <v>24</v>
      </c>
      <c r="F22" s="5" t="s">
        <v>202</v>
      </c>
      <c r="G22" s="5" t="s">
        <v>215</v>
      </c>
      <c r="H22" s="5" t="s">
        <v>206</v>
      </c>
      <c r="I22" s="5" t="s">
        <v>33</v>
      </c>
      <c r="J22" s="6" t="s">
        <v>227</v>
      </c>
      <c r="K22" s="6" t="s">
        <v>219</v>
      </c>
    </row>
    <row r="24" spans="2:14" s="11" customFormat="1" x14ac:dyDescent="0.15">
      <c r="B24" s="13" t="s">
        <v>228</v>
      </c>
    </row>
    <row r="25" spans="2:14" s="11" customFormat="1" x14ac:dyDescent="0.15">
      <c r="B25" s="22" t="s">
        <v>229</v>
      </c>
    </row>
    <row r="27" spans="2:14" s="11" customFormat="1" ht="18.75" customHeight="1" x14ac:dyDescent="0.15">
      <c r="B27" s="9" t="s">
        <v>148</v>
      </c>
      <c r="C27" s="9"/>
      <c r="D27" s="33"/>
    </row>
    <row r="28" spans="2:14" s="11" customFormat="1" ht="24" x14ac:dyDescent="0.15">
      <c r="B28" s="34" t="s">
        <v>95</v>
      </c>
      <c r="C28" s="34" t="s">
        <v>96</v>
      </c>
      <c r="D28" s="34" t="s">
        <v>97</v>
      </c>
      <c r="E28" s="34" t="s">
        <v>98</v>
      </c>
      <c r="F28" s="34" t="s">
        <v>99</v>
      </c>
      <c r="G28" s="34" t="s">
        <v>100</v>
      </c>
      <c r="H28" s="34" t="s">
        <v>101</v>
      </c>
      <c r="I28" s="34" t="s">
        <v>55</v>
      </c>
      <c r="J28" s="34" t="s">
        <v>45</v>
      </c>
      <c r="K28" s="34" t="s">
        <v>102</v>
      </c>
      <c r="L28" s="34" t="s">
        <v>103</v>
      </c>
      <c r="M28" s="34" t="s">
        <v>45</v>
      </c>
      <c r="N28" s="34" t="s">
        <v>21</v>
      </c>
    </row>
    <row r="29" spans="2:14" s="11" customFormat="1" ht="144" x14ac:dyDescent="0.15">
      <c r="B29" s="3" t="s">
        <v>104</v>
      </c>
      <c r="C29" s="3" t="s">
        <v>105</v>
      </c>
      <c r="D29" s="3" t="s">
        <v>106</v>
      </c>
      <c r="E29" s="3" t="s">
        <v>107</v>
      </c>
      <c r="F29" s="4" t="s">
        <v>108</v>
      </c>
      <c r="G29" s="4" t="s">
        <v>109</v>
      </c>
      <c r="H29" s="3"/>
      <c r="I29" s="3"/>
      <c r="J29" s="3"/>
      <c r="K29" s="3"/>
      <c r="L29" s="3"/>
      <c r="M29" s="3"/>
      <c r="N29" s="4" t="s">
        <v>110</v>
      </c>
    </row>
    <row r="30" spans="2:14" s="11" customFormat="1" ht="228" x14ac:dyDescent="0.15">
      <c r="B30" s="35" t="s">
        <v>104</v>
      </c>
      <c r="C30" s="35" t="s">
        <v>111</v>
      </c>
      <c r="D30" s="35" t="s">
        <v>106</v>
      </c>
      <c r="E30" s="35" t="s">
        <v>107</v>
      </c>
      <c r="F30" s="36" t="s">
        <v>112</v>
      </c>
      <c r="G30" s="36" t="s">
        <v>113</v>
      </c>
      <c r="H30" s="35"/>
      <c r="I30" s="35"/>
      <c r="J30" s="35"/>
      <c r="K30" s="35"/>
      <c r="L30" s="35"/>
      <c r="M30" s="35"/>
      <c r="N30" s="36" t="s">
        <v>114</v>
      </c>
    </row>
    <row r="31" spans="2:14" s="11" customFormat="1" ht="168" x14ac:dyDescent="0.15">
      <c r="B31" s="35" t="s">
        <v>104</v>
      </c>
      <c r="C31" s="35" t="s">
        <v>115</v>
      </c>
      <c r="D31" s="35" t="s">
        <v>106</v>
      </c>
      <c r="E31" s="35" t="s">
        <v>107</v>
      </c>
      <c r="F31" s="36" t="s">
        <v>116</v>
      </c>
      <c r="G31" s="36" t="s">
        <v>117</v>
      </c>
      <c r="H31" s="35"/>
      <c r="I31" s="35"/>
      <c r="J31" s="35"/>
      <c r="K31" s="35"/>
      <c r="L31" s="35"/>
      <c r="M31" s="35"/>
      <c r="N31" s="36" t="s">
        <v>118</v>
      </c>
    </row>
    <row r="32" spans="2:14" s="11" customFormat="1" ht="192" x14ac:dyDescent="0.15">
      <c r="B32" s="35" t="s">
        <v>104</v>
      </c>
      <c r="C32" s="35" t="s">
        <v>119</v>
      </c>
      <c r="D32" s="35" t="s">
        <v>106</v>
      </c>
      <c r="E32" s="35" t="s">
        <v>107</v>
      </c>
      <c r="F32" s="36" t="s">
        <v>120</v>
      </c>
      <c r="G32" s="36" t="s">
        <v>121</v>
      </c>
      <c r="H32" s="35"/>
      <c r="I32" s="35"/>
      <c r="J32" s="35"/>
      <c r="K32" s="35"/>
      <c r="L32" s="35"/>
      <c r="M32" s="35"/>
      <c r="N32" s="36" t="s">
        <v>122</v>
      </c>
    </row>
    <row r="33" spans="2:14" s="11" customFormat="1" ht="144" x14ac:dyDescent="0.15">
      <c r="B33" s="3" t="s">
        <v>104</v>
      </c>
      <c r="C33" s="3" t="s">
        <v>123</v>
      </c>
      <c r="D33" s="3" t="s">
        <v>106</v>
      </c>
      <c r="E33" s="3" t="s">
        <v>124</v>
      </c>
      <c r="F33" s="4" t="s">
        <v>125</v>
      </c>
      <c r="G33" s="4" t="s">
        <v>126</v>
      </c>
      <c r="H33" s="3"/>
      <c r="I33" s="3"/>
      <c r="J33" s="3"/>
      <c r="K33" s="3"/>
      <c r="L33" s="3"/>
      <c r="M33" s="3"/>
      <c r="N33" s="4" t="s">
        <v>127</v>
      </c>
    </row>
    <row r="34" spans="2:14" s="11" customFormat="1" ht="156" x14ac:dyDescent="0.15">
      <c r="B34" s="3" t="s">
        <v>128</v>
      </c>
      <c r="C34" s="3" t="s">
        <v>129</v>
      </c>
      <c r="D34" s="3" t="s">
        <v>106</v>
      </c>
      <c r="E34" s="3" t="s">
        <v>130</v>
      </c>
      <c r="F34" s="4" t="s">
        <v>131</v>
      </c>
      <c r="G34" s="4" t="s">
        <v>132</v>
      </c>
      <c r="H34" s="3"/>
      <c r="I34" s="3"/>
      <c r="J34" s="3"/>
      <c r="K34" s="3"/>
      <c r="L34" s="3"/>
      <c r="M34" s="3"/>
      <c r="N34" s="4" t="s">
        <v>110</v>
      </c>
    </row>
    <row r="35" spans="2:14" s="11" customFormat="1" ht="228" x14ac:dyDescent="0.15">
      <c r="B35" s="35" t="s">
        <v>128</v>
      </c>
      <c r="C35" s="35" t="s">
        <v>133</v>
      </c>
      <c r="D35" s="35" t="s">
        <v>106</v>
      </c>
      <c r="E35" s="35" t="s">
        <v>130</v>
      </c>
      <c r="F35" s="36" t="s">
        <v>134</v>
      </c>
      <c r="G35" s="36" t="s">
        <v>135</v>
      </c>
      <c r="H35" s="35"/>
      <c r="I35" s="35"/>
      <c r="J35" s="35"/>
      <c r="K35" s="35"/>
      <c r="L35" s="35"/>
      <c r="M35" s="35"/>
      <c r="N35" s="36" t="s">
        <v>136</v>
      </c>
    </row>
    <row r="36" spans="2:14" s="11" customFormat="1" ht="180" x14ac:dyDescent="0.15">
      <c r="B36" s="35" t="s">
        <v>128</v>
      </c>
      <c r="C36" s="35" t="s">
        <v>137</v>
      </c>
      <c r="D36" s="35" t="s">
        <v>106</v>
      </c>
      <c r="E36" s="35" t="s">
        <v>130</v>
      </c>
      <c r="F36" s="36" t="s">
        <v>138</v>
      </c>
      <c r="G36" s="36" t="s">
        <v>139</v>
      </c>
      <c r="H36" s="35"/>
      <c r="I36" s="35"/>
      <c r="J36" s="35"/>
      <c r="K36" s="35"/>
      <c r="L36" s="35"/>
      <c r="M36" s="35"/>
      <c r="N36" s="36" t="s">
        <v>118</v>
      </c>
    </row>
    <row r="37" spans="2:14" s="11" customFormat="1" ht="192" x14ac:dyDescent="0.15">
      <c r="B37" s="35" t="s">
        <v>128</v>
      </c>
      <c r="C37" s="35" t="s">
        <v>140</v>
      </c>
      <c r="D37" s="35" t="s">
        <v>106</v>
      </c>
      <c r="E37" s="35" t="s">
        <v>130</v>
      </c>
      <c r="F37" s="36" t="s">
        <v>141</v>
      </c>
      <c r="G37" s="36" t="s">
        <v>142</v>
      </c>
      <c r="H37" s="35"/>
      <c r="I37" s="35"/>
      <c r="J37" s="35"/>
      <c r="K37" s="35"/>
      <c r="L37" s="35"/>
      <c r="M37" s="35"/>
      <c r="N37" s="36" t="s">
        <v>122</v>
      </c>
    </row>
    <row r="38" spans="2:14" s="11" customFormat="1" ht="180" x14ac:dyDescent="0.15">
      <c r="B38" s="3" t="s">
        <v>128</v>
      </c>
      <c r="C38" s="3" t="s">
        <v>143</v>
      </c>
      <c r="D38" s="3" t="s">
        <v>106</v>
      </c>
      <c r="E38" s="3" t="s">
        <v>130</v>
      </c>
      <c r="F38" s="4" t="s">
        <v>144</v>
      </c>
      <c r="G38" s="4" t="s">
        <v>145</v>
      </c>
      <c r="H38" s="3"/>
      <c r="I38" s="3"/>
      <c r="J38" s="3"/>
      <c r="K38" s="3"/>
      <c r="L38" s="3"/>
      <c r="M38" s="3"/>
      <c r="N38" s="4" t="s">
        <v>146</v>
      </c>
    </row>
  </sheetData>
  <mergeCells count="1">
    <mergeCell ref="B4:M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1"/>
  <sheetViews>
    <sheetView zoomScaleNormal="100" workbookViewId="0"/>
  </sheetViews>
  <sheetFormatPr defaultColWidth="8.7109375" defaultRowHeight="15" x14ac:dyDescent="0.25"/>
  <cols>
    <col min="2" max="2" width="22" customWidth="1"/>
    <col min="3" max="3" width="34" customWidth="1"/>
    <col min="4" max="4" width="20" customWidth="1"/>
    <col min="5" max="5" width="17.85546875" customWidth="1"/>
  </cols>
  <sheetData>
    <row r="2" spans="2:8" ht="19.5" x14ac:dyDescent="0.25">
      <c r="B2" s="10" t="s">
        <v>160</v>
      </c>
      <c r="C2" s="11"/>
      <c r="D2" s="11"/>
      <c r="E2" s="11"/>
      <c r="F2" s="11"/>
      <c r="G2" s="11"/>
      <c r="H2" s="11"/>
    </row>
    <row r="3" spans="2:8" x14ac:dyDescent="0.25">
      <c r="B3" s="11"/>
      <c r="C3" s="11"/>
      <c r="D3" s="11"/>
      <c r="E3" s="11"/>
      <c r="F3" s="11"/>
      <c r="G3" s="11"/>
      <c r="H3" s="11"/>
    </row>
    <row r="4" spans="2:8" ht="60" customHeight="1" x14ac:dyDescent="0.25">
      <c r="B4" s="12" t="s">
        <v>161</v>
      </c>
      <c r="C4" s="12"/>
      <c r="D4" s="12"/>
      <c r="E4" s="12"/>
      <c r="F4" s="12"/>
      <c r="G4" s="12"/>
      <c r="H4" s="12"/>
    </row>
    <row r="5" spans="2:8" ht="59.25" customHeight="1" x14ac:dyDescent="0.25">
      <c r="B5" s="2" t="s">
        <v>35</v>
      </c>
      <c r="C5" s="2" t="s">
        <v>36</v>
      </c>
      <c r="D5" s="2" t="s">
        <v>37</v>
      </c>
      <c r="E5" s="2" t="s">
        <v>38</v>
      </c>
      <c r="F5" s="11"/>
      <c r="G5" s="11"/>
      <c r="H5" s="11"/>
    </row>
    <row r="6" spans="2:8" ht="99.75" customHeight="1" x14ac:dyDescent="0.25">
      <c r="B6" s="4" t="s">
        <v>149</v>
      </c>
      <c r="C6" s="3" t="s">
        <v>150</v>
      </c>
      <c r="D6" s="3" t="s">
        <v>151</v>
      </c>
      <c r="E6" s="3" t="s">
        <v>39</v>
      </c>
    </row>
    <row r="7" spans="2:8" ht="81.75" customHeight="1" x14ac:dyDescent="0.25">
      <c r="B7" s="4" t="s">
        <v>152</v>
      </c>
      <c r="C7" s="3" t="s">
        <v>153</v>
      </c>
      <c r="D7" s="3" t="s">
        <v>154</v>
      </c>
      <c r="E7" s="3" t="s">
        <v>39</v>
      </c>
    </row>
    <row r="8" spans="2:8" ht="69.95" customHeight="1" x14ac:dyDescent="0.25">
      <c r="B8" s="4" t="s">
        <v>40</v>
      </c>
      <c r="C8" s="3" t="s">
        <v>155</v>
      </c>
      <c r="D8" s="3" t="s">
        <v>156</v>
      </c>
      <c r="E8" s="3" t="s">
        <v>39</v>
      </c>
    </row>
    <row r="9" spans="2:8" ht="69.95" customHeight="1" x14ac:dyDescent="0.25">
      <c r="B9" s="4" t="s">
        <v>157</v>
      </c>
      <c r="C9" s="3" t="s">
        <v>158</v>
      </c>
      <c r="D9" s="3" t="s">
        <v>159</v>
      </c>
      <c r="E9" s="3" t="s">
        <v>39</v>
      </c>
    </row>
    <row r="11" spans="2:8" ht="45.75" customHeight="1" x14ac:dyDescent="0.25">
      <c r="B11" s="1" t="s">
        <v>81</v>
      </c>
      <c r="C11" s="1"/>
      <c r="D11" s="1"/>
      <c r="E11" s="1"/>
      <c r="F11" s="1"/>
      <c r="G11" s="1"/>
      <c r="H11" s="1"/>
    </row>
  </sheetData>
  <mergeCells count="2">
    <mergeCell ref="B4:H4"/>
    <mergeCell ref="B11:H11"/>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6"/>
  <sheetViews>
    <sheetView zoomScaleNormal="100" workbookViewId="0"/>
  </sheetViews>
  <sheetFormatPr defaultColWidth="8.7109375" defaultRowHeight="15" x14ac:dyDescent="0.25"/>
  <cols>
    <col min="1" max="1" width="10.28515625" customWidth="1"/>
    <col min="2" max="2" width="30" customWidth="1"/>
    <col min="3" max="4" width="40" customWidth="1"/>
    <col min="5" max="5" width="30" customWidth="1"/>
    <col min="6" max="6" width="34.5703125" customWidth="1"/>
  </cols>
  <sheetData>
    <row r="2" spans="2:8" ht="19.5" x14ac:dyDescent="0.25">
      <c r="B2" s="10" t="s">
        <v>162</v>
      </c>
      <c r="C2" s="11"/>
      <c r="D2" s="11"/>
      <c r="E2" s="11"/>
      <c r="F2" s="11"/>
      <c r="G2" s="11"/>
      <c r="H2" s="11"/>
    </row>
    <row r="3" spans="2:8" x14ac:dyDescent="0.25">
      <c r="B3" s="11"/>
      <c r="C3" s="11"/>
      <c r="D3" s="11"/>
      <c r="E3" s="11"/>
      <c r="F3" s="11"/>
      <c r="G3" s="11"/>
      <c r="H3" s="11"/>
    </row>
    <row r="4" spans="2:8" ht="45.75" customHeight="1" x14ac:dyDescent="0.25">
      <c r="B4" s="12" t="s">
        <v>163</v>
      </c>
      <c r="C4" s="12"/>
      <c r="D4" s="12"/>
      <c r="E4" s="12"/>
      <c r="F4" s="12"/>
      <c r="G4" s="12"/>
      <c r="H4" s="12"/>
    </row>
    <row r="5" spans="2:8" x14ac:dyDescent="0.25">
      <c r="B5" s="2" t="s">
        <v>41</v>
      </c>
      <c r="C5" s="2" t="s">
        <v>42</v>
      </c>
      <c r="D5" s="2" t="s">
        <v>43</v>
      </c>
      <c r="E5" s="2" t="s">
        <v>44</v>
      </c>
      <c r="F5" s="2" t="s">
        <v>45</v>
      </c>
      <c r="G5" s="11"/>
      <c r="H5" s="11"/>
    </row>
    <row r="6" spans="2:8" ht="129.75" customHeight="1" x14ac:dyDescent="0.25">
      <c r="B6" s="3" t="s">
        <v>83</v>
      </c>
      <c r="C6" s="4" t="s">
        <v>84</v>
      </c>
      <c r="D6" s="4" t="s">
        <v>85</v>
      </c>
      <c r="E6" s="4" t="s">
        <v>86</v>
      </c>
      <c r="F6" s="3" t="s">
        <v>87</v>
      </c>
      <c r="G6" s="11"/>
      <c r="H6" s="11"/>
    </row>
    <row r="7" spans="2:8" ht="129.75" customHeight="1" x14ac:dyDescent="0.25">
      <c r="B7" s="3" t="s">
        <v>88</v>
      </c>
      <c r="C7" s="4" t="s">
        <v>89</v>
      </c>
      <c r="D7" s="4" t="s">
        <v>90</v>
      </c>
      <c r="E7" s="4" t="s">
        <v>46</v>
      </c>
      <c r="F7" s="3" t="s">
        <v>47</v>
      </c>
      <c r="G7" s="11"/>
      <c r="H7" s="11"/>
    </row>
    <row r="8" spans="2:8" ht="129.75" customHeight="1" x14ac:dyDescent="0.25">
      <c r="B8" s="5" t="s">
        <v>94</v>
      </c>
      <c r="C8" s="6" t="s">
        <v>91</v>
      </c>
      <c r="D8" s="6" t="s">
        <v>92</v>
      </c>
      <c r="E8" s="6" t="s">
        <v>93</v>
      </c>
      <c r="F8" s="5" t="s">
        <v>48</v>
      </c>
      <c r="G8" s="11"/>
      <c r="H8" s="11"/>
    </row>
    <row r="9" spans="2:8" x14ac:dyDescent="0.25">
      <c r="B9" s="11"/>
      <c r="C9" s="11"/>
      <c r="D9" s="11"/>
      <c r="E9" s="11"/>
      <c r="F9" s="11"/>
      <c r="G9" s="11"/>
      <c r="H9" s="11"/>
    </row>
    <row r="10" spans="2:8" x14ac:dyDescent="0.25">
      <c r="B10" s="11"/>
      <c r="C10" s="13" t="s">
        <v>49</v>
      </c>
      <c r="D10" s="11"/>
      <c r="E10" s="11"/>
      <c r="F10" s="11"/>
      <c r="G10" s="11"/>
      <c r="H10" s="11"/>
    </row>
    <row r="11" spans="2:8" x14ac:dyDescent="0.25">
      <c r="B11" s="2" t="s">
        <v>41</v>
      </c>
      <c r="C11" s="2" t="s">
        <v>50</v>
      </c>
      <c r="D11" s="2" t="s">
        <v>51</v>
      </c>
      <c r="E11" s="11"/>
      <c r="F11" s="11"/>
      <c r="G11" s="11"/>
      <c r="H11" s="11"/>
    </row>
    <row r="12" spans="2:8" x14ac:dyDescent="0.25">
      <c r="B12" s="3" t="s">
        <v>164</v>
      </c>
      <c r="C12" s="3">
        <v>2</v>
      </c>
      <c r="D12" s="3">
        <v>0</v>
      </c>
      <c r="E12" s="11"/>
      <c r="F12" s="11"/>
      <c r="G12" s="11"/>
      <c r="H12" s="11"/>
    </row>
    <row r="13" spans="2:8" ht="24" x14ac:dyDescent="0.25">
      <c r="B13" s="3" t="s">
        <v>52</v>
      </c>
      <c r="C13" s="3">
        <v>2</v>
      </c>
      <c r="D13" s="3">
        <v>2</v>
      </c>
      <c r="E13" s="4" t="s">
        <v>165</v>
      </c>
      <c r="F13" s="11"/>
      <c r="G13" s="11"/>
      <c r="H13" s="11"/>
    </row>
    <row r="14" spans="2:8" x14ac:dyDescent="0.25">
      <c r="B14" s="3" t="s">
        <v>53</v>
      </c>
      <c r="C14" s="3">
        <v>4</v>
      </c>
      <c r="D14" s="3">
        <v>2</v>
      </c>
      <c r="E14" s="11"/>
      <c r="F14" s="11"/>
      <c r="G14" s="11"/>
      <c r="H14" s="11"/>
    </row>
    <row r="15" spans="2:8" x14ac:dyDescent="0.25">
      <c r="B15" s="11"/>
      <c r="C15" s="11"/>
      <c r="D15" s="11"/>
      <c r="E15" s="11"/>
      <c r="F15" s="11"/>
      <c r="G15" s="11"/>
      <c r="H15" s="11"/>
    </row>
    <row r="16" spans="2:8" ht="60" customHeight="1" x14ac:dyDescent="0.25">
      <c r="B16" s="1" t="s">
        <v>82</v>
      </c>
      <c r="C16" s="1"/>
      <c r="D16" s="1"/>
      <c r="E16" s="1"/>
      <c r="F16" s="1"/>
      <c r="G16" s="1"/>
      <c r="H16" s="1"/>
    </row>
  </sheetData>
  <mergeCells count="2">
    <mergeCell ref="B4:H4"/>
    <mergeCell ref="B16:H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5"/>
  <sheetViews>
    <sheetView zoomScaleNormal="100" workbookViewId="0"/>
  </sheetViews>
  <sheetFormatPr defaultColWidth="8.7109375" defaultRowHeight="15" x14ac:dyDescent="0.25"/>
  <cols>
    <col min="2" max="2" width="5" customWidth="1"/>
    <col min="3" max="3" width="15.7109375" customWidth="1"/>
    <col min="4" max="4" width="22" customWidth="1"/>
    <col min="5" max="5" width="44" customWidth="1"/>
    <col min="6" max="6" width="30" customWidth="1"/>
    <col min="7" max="7" width="20" customWidth="1"/>
    <col min="8" max="8" width="40" customWidth="1"/>
  </cols>
  <sheetData>
    <row r="1" spans="2:9" x14ac:dyDescent="0.25">
      <c r="B1" s="11"/>
      <c r="C1" s="11"/>
      <c r="D1" s="11"/>
      <c r="E1" s="11"/>
      <c r="F1" s="11"/>
      <c r="G1" s="11"/>
      <c r="H1" s="11"/>
      <c r="I1" s="11"/>
    </row>
    <row r="2" spans="2:9" ht="19.5" x14ac:dyDescent="0.25">
      <c r="B2" s="10" t="s">
        <v>54</v>
      </c>
      <c r="C2" s="11"/>
      <c r="D2" s="11"/>
      <c r="F2" s="11"/>
      <c r="G2" s="11"/>
      <c r="H2" s="11"/>
      <c r="I2" s="11"/>
    </row>
    <row r="3" spans="2:9" x14ac:dyDescent="0.25">
      <c r="B3" s="11"/>
      <c r="C3" s="11"/>
      <c r="D3" s="11"/>
      <c r="E3" s="11"/>
      <c r="F3" s="11"/>
      <c r="G3" s="11"/>
      <c r="H3" s="11"/>
      <c r="I3" s="11"/>
    </row>
    <row r="4" spans="2:9" x14ac:dyDescent="0.25">
      <c r="B4" s="2" t="s">
        <v>14</v>
      </c>
      <c r="C4" s="2" t="s">
        <v>55</v>
      </c>
      <c r="D4" s="2" t="s">
        <v>56</v>
      </c>
      <c r="E4" s="2" t="s">
        <v>57</v>
      </c>
      <c r="F4" s="2" t="s">
        <v>58</v>
      </c>
      <c r="G4" s="2" t="s">
        <v>59</v>
      </c>
      <c r="H4" s="2" t="s">
        <v>60</v>
      </c>
      <c r="I4" s="11"/>
    </row>
    <row r="5" spans="2:9" ht="54" customHeight="1" x14ac:dyDescent="0.25">
      <c r="B5" s="3">
        <v>1</v>
      </c>
      <c r="C5" s="14">
        <v>46216</v>
      </c>
      <c r="D5" s="3" t="s">
        <v>61</v>
      </c>
      <c r="E5" s="4" t="s">
        <v>166</v>
      </c>
      <c r="F5" s="4" t="s">
        <v>62</v>
      </c>
      <c r="G5" s="3" t="s">
        <v>63</v>
      </c>
      <c r="H5" s="4" t="s">
        <v>167</v>
      </c>
      <c r="I5" s="11"/>
    </row>
    <row r="6" spans="2:9" ht="54" customHeight="1" x14ac:dyDescent="0.25">
      <c r="B6" s="3">
        <v>2</v>
      </c>
      <c r="C6" s="14">
        <v>46216</v>
      </c>
      <c r="D6" s="3" t="s">
        <v>64</v>
      </c>
      <c r="E6" s="4" t="s">
        <v>168</v>
      </c>
      <c r="F6" s="4" t="s">
        <v>169</v>
      </c>
      <c r="G6" s="3" t="s">
        <v>63</v>
      </c>
      <c r="H6" s="4" t="s">
        <v>170</v>
      </c>
      <c r="I6" s="11"/>
    </row>
    <row r="7" spans="2:9" ht="54" customHeight="1" x14ac:dyDescent="0.25">
      <c r="B7" s="5">
        <v>3</v>
      </c>
      <c r="C7" s="15">
        <v>46217</v>
      </c>
      <c r="D7" s="5" t="s">
        <v>65</v>
      </c>
      <c r="E7" s="6" t="s">
        <v>171</v>
      </c>
      <c r="F7" s="6" t="s">
        <v>172</v>
      </c>
      <c r="G7" s="5" t="s">
        <v>63</v>
      </c>
      <c r="H7" s="6" t="s">
        <v>66</v>
      </c>
      <c r="I7" s="11"/>
    </row>
    <row r="8" spans="2:9" ht="54" customHeight="1" x14ac:dyDescent="0.25">
      <c r="B8" s="5">
        <v>4</v>
      </c>
      <c r="C8" s="15">
        <v>46217</v>
      </c>
      <c r="D8" s="5" t="s">
        <v>67</v>
      </c>
      <c r="E8" s="6" t="s">
        <v>173</v>
      </c>
      <c r="F8" s="6" t="s">
        <v>174</v>
      </c>
      <c r="G8" s="5" t="s">
        <v>63</v>
      </c>
      <c r="H8" s="6" t="s">
        <v>175</v>
      </c>
      <c r="I8" s="11"/>
    </row>
    <row r="9" spans="2:9" ht="54" customHeight="1" x14ac:dyDescent="0.25">
      <c r="B9" s="5">
        <v>5</v>
      </c>
      <c r="C9" s="15">
        <v>46217</v>
      </c>
      <c r="D9" s="5" t="s">
        <v>68</v>
      </c>
      <c r="E9" s="6" t="s">
        <v>176</v>
      </c>
      <c r="F9" s="6" t="s">
        <v>69</v>
      </c>
      <c r="G9" s="5" t="s">
        <v>63</v>
      </c>
      <c r="H9" s="6" t="s">
        <v>177</v>
      </c>
      <c r="I9" s="11"/>
    </row>
    <row r="10" spans="2:9" ht="54" customHeight="1" x14ac:dyDescent="0.25">
      <c r="B10" s="5">
        <v>6</v>
      </c>
      <c r="C10" s="15">
        <v>46217</v>
      </c>
      <c r="D10" s="5" t="s">
        <v>70</v>
      </c>
      <c r="E10" s="6" t="s">
        <v>178</v>
      </c>
      <c r="F10" s="6" t="s">
        <v>71</v>
      </c>
      <c r="G10" s="5" t="s">
        <v>63</v>
      </c>
      <c r="H10" s="6" t="s">
        <v>179</v>
      </c>
      <c r="I10" s="11"/>
    </row>
    <row r="11" spans="2:9" ht="54" customHeight="1" x14ac:dyDescent="0.25">
      <c r="B11" s="5">
        <v>7</v>
      </c>
      <c r="C11" s="15">
        <v>46217</v>
      </c>
      <c r="D11" s="5" t="s">
        <v>72</v>
      </c>
      <c r="E11" s="6" t="s">
        <v>180</v>
      </c>
      <c r="F11" s="6" t="s">
        <v>73</v>
      </c>
      <c r="G11" s="5" t="s">
        <v>63</v>
      </c>
      <c r="H11" s="6" t="s">
        <v>181</v>
      </c>
      <c r="I11" s="11"/>
    </row>
    <row r="12" spans="2:9" x14ac:dyDescent="0.25">
      <c r="B12" s="11"/>
      <c r="C12" s="11"/>
      <c r="D12" s="11"/>
      <c r="E12" s="11"/>
      <c r="F12" s="11"/>
      <c r="G12" s="11"/>
      <c r="H12" s="11"/>
      <c r="I12" s="11"/>
    </row>
    <row r="13" spans="2:9" x14ac:dyDescent="0.25">
      <c r="B13" s="11"/>
      <c r="C13" s="11"/>
      <c r="D13" s="11"/>
      <c r="E13" s="11"/>
      <c r="F13" s="11"/>
      <c r="G13" s="11"/>
      <c r="H13" s="11"/>
      <c r="I13" s="11"/>
    </row>
    <row r="14" spans="2:9" x14ac:dyDescent="0.25">
      <c r="B14" s="11"/>
      <c r="C14" s="11"/>
      <c r="D14" s="11"/>
      <c r="E14" s="11"/>
      <c r="F14" s="11"/>
      <c r="G14" s="11"/>
      <c r="H14" s="11"/>
      <c r="I14" s="11"/>
    </row>
    <row r="15" spans="2:9" x14ac:dyDescent="0.25">
      <c r="B15" s="11"/>
      <c r="C15" s="11"/>
      <c r="D15" s="11"/>
      <c r="E15" s="11"/>
      <c r="F15" s="11"/>
      <c r="G15" s="11"/>
      <c r="H15" s="11"/>
      <c r="I15" s="11"/>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6"/>
  <sheetViews>
    <sheetView zoomScaleNormal="100" workbookViewId="0"/>
  </sheetViews>
  <sheetFormatPr defaultColWidth="8.7109375" defaultRowHeight="15" x14ac:dyDescent="0.25"/>
  <cols>
    <col min="1" max="1" width="12.140625" customWidth="1"/>
    <col min="2" max="2" width="46" customWidth="1"/>
    <col min="3" max="3" width="18" customWidth="1"/>
    <col min="4" max="4" width="14.85546875" customWidth="1"/>
    <col min="5" max="5" width="9.140625" customWidth="1"/>
    <col min="6" max="6" width="15.7109375" customWidth="1"/>
    <col min="7" max="7" width="23.140625" customWidth="1"/>
  </cols>
  <sheetData>
    <row r="2" spans="1:7" ht="19.5" x14ac:dyDescent="0.25">
      <c r="A2" s="11"/>
      <c r="B2" s="10" t="s">
        <v>182</v>
      </c>
      <c r="C2" s="11"/>
      <c r="D2" s="11"/>
      <c r="E2" s="11"/>
      <c r="F2" s="11"/>
      <c r="G2" s="11"/>
    </row>
    <row r="3" spans="1:7" x14ac:dyDescent="0.25">
      <c r="A3" s="11"/>
      <c r="B3" s="11"/>
      <c r="C3" s="11"/>
      <c r="D3" s="11"/>
      <c r="E3" s="11"/>
      <c r="F3" s="11"/>
      <c r="G3" s="11"/>
    </row>
    <row r="4" spans="1:7" x14ac:dyDescent="0.25">
      <c r="A4" s="11"/>
      <c r="B4" s="17" t="s">
        <v>74</v>
      </c>
      <c r="C4" s="11"/>
      <c r="D4" s="11"/>
      <c r="E4" s="11"/>
      <c r="F4" s="11"/>
      <c r="G4" s="11"/>
    </row>
    <row r="5" spans="1:7" x14ac:dyDescent="0.25">
      <c r="A5" s="11"/>
      <c r="B5" s="11"/>
      <c r="C5" s="11"/>
      <c r="D5" s="11"/>
      <c r="E5" s="11"/>
      <c r="F5" s="11"/>
      <c r="G5" s="11"/>
    </row>
    <row r="6" spans="1:7" ht="24" x14ac:dyDescent="0.25">
      <c r="A6" s="11"/>
      <c r="B6" s="2" t="s">
        <v>56</v>
      </c>
      <c r="C6" s="2" t="s">
        <v>183</v>
      </c>
      <c r="D6" s="2" t="s">
        <v>184</v>
      </c>
      <c r="E6" s="2" t="s">
        <v>185</v>
      </c>
      <c r="F6" s="2" t="s">
        <v>75</v>
      </c>
      <c r="G6" s="2" t="s">
        <v>21</v>
      </c>
    </row>
    <row r="7" spans="1:7" ht="31.5" customHeight="1" x14ac:dyDescent="0.25">
      <c r="A7" s="11"/>
      <c r="B7" s="4" t="s">
        <v>76</v>
      </c>
      <c r="C7" s="3">
        <v>3</v>
      </c>
      <c r="D7" s="16"/>
      <c r="E7" s="3">
        <f t="shared" ref="E7:E12" si="0">C7-D7</f>
        <v>3</v>
      </c>
      <c r="F7" s="18">
        <f t="shared" ref="F7:F12" si="1">IFERROR(E7/C7,"")</f>
        <v>1</v>
      </c>
      <c r="G7" s="4" t="s">
        <v>77</v>
      </c>
    </row>
    <row r="8" spans="1:7" ht="31.5" customHeight="1" x14ac:dyDescent="0.25">
      <c r="A8" s="11"/>
      <c r="B8" s="4" t="s">
        <v>78</v>
      </c>
      <c r="C8" s="3">
        <v>4</v>
      </c>
      <c r="D8" s="16"/>
      <c r="E8" s="3">
        <f t="shared" si="0"/>
        <v>4</v>
      </c>
      <c r="F8" s="18">
        <f t="shared" si="1"/>
        <v>1</v>
      </c>
      <c r="G8" s="4" t="s">
        <v>77</v>
      </c>
    </row>
    <row r="9" spans="1:7" ht="31.5" customHeight="1" x14ac:dyDescent="0.25">
      <c r="A9" s="11"/>
      <c r="B9" s="4" t="s">
        <v>79</v>
      </c>
      <c r="C9" s="3">
        <v>1</v>
      </c>
      <c r="D9" s="16"/>
      <c r="E9" s="3">
        <f t="shared" si="0"/>
        <v>1</v>
      </c>
      <c r="F9" s="18">
        <f t="shared" si="1"/>
        <v>1</v>
      </c>
      <c r="G9" s="4" t="s">
        <v>77</v>
      </c>
    </row>
    <row r="10" spans="1:7" ht="31.5" customHeight="1" x14ac:dyDescent="0.25">
      <c r="A10" s="11"/>
      <c r="B10" s="4" t="s">
        <v>186</v>
      </c>
      <c r="C10" s="3">
        <v>6</v>
      </c>
      <c r="D10" s="16"/>
      <c r="E10" s="3">
        <f t="shared" si="0"/>
        <v>6</v>
      </c>
      <c r="F10" s="18">
        <f t="shared" si="1"/>
        <v>1</v>
      </c>
      <c r="G10" s="4" t="s">
        <v>187</v>
      </c>
    </row>
    <row r="11" spans="1:7" ht="31.5" customHeight="1" x14ac:dyDescent="0.25">
      <c r="A11" s="11"/>
      <c r="B11" s="4" t="s">
        <v>188</v>
      </c>
      <c r="C11" s="3">
        <v>2</v>
      </c>
      <c r="D11" s="16"/>
      <c r="E11" s="3">
        <f t="shared" si="0"/>
        <v>2</v>
      </c>
      <c r="F11" s="18">
        <f t="shared" si="1"/>
        <v>1</v>
      </c>
      <c r="G11" s="4" t="s">
        <v>77</v>
      </c>
    </row>
    <row r="12" spans="1:7" x14ac:dyDescent="0.25">
      <c r="A12" s="11"/>
      <c r="B12" s="19" t="s">
        <v>80</v>
      </c>
      <c r="C12" s="19">
        <f>SUM(C7:C11)</f>
        <v>16</v>
      </c>
      <c r="D12" s="19">
        <f>SUM(D7:D11)</f>
        <v>0</v>
      </c>
      <c r="E12" s="19">
        <f t="shared" si="0"/>
        <v>16</v>
      </c>
      <c r="F12" s="20">
        <f t="shared" si="1"/>
        <v>1</v>
      </c>
      <c r="G12" s="19"/>
    </row>
    <row r="13" spans="1:7" x14ac:dyDescent="0.25">
      <c r="A13" s="11"/>
      <c r="B13" s="11"/>
      <c r="C13" s="11"/>
      <c r="D13" s="11"/>
      <c r="E13" s="11"/>
      <c r="F13" s="11"/>
      <c r="G13" s="11"/>
    </row>
    <row r="14" spans="1:7" x14ac:dyDescent="0.25">
      <c r="A14" s="11"/>
      <c r="B14" s="11"/>
      <c r="C14" s="11"/>
      <c r="D14" s="11"/>
      <c r="E14" s="11"/>
      <c r="F14" s="11"/>
      <c r="G14" s="11"/>
    </row>
    <row r="15" spans="1:7" ht="60" customHeight="1" x14ac:dyDescent="0.25">
      <c r="A15" s="11"/>
      <c r="B15" s="12" t="s">
        <v>189</v>
      </c>
      <c r="C15" s="12"/>
      <c r="D15" s="12"/>
      <c r="E15" s="12"/>
      <c r="F15" s="12"/>
      <c r="G15" s="12"/>
    </row>
    <row r="16" spans="1:7" x14ac:dyDescent="0.25">
      <c r="A16" s="11"/>
      <c r="B16" s="11"/>
      <c r="C16" s="11"/>
      <c r="D16" s="11"/>
      <c r="E16" s="11"/>
      <c r="F16" s="11"/>
      <c r="G16" s="11"/>
    </row>
  </sheetData>
  <mergeCells count="1">
    <mergeCell ref="B15:G15"/>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表紙</vt:lpstr>
      <vt:lpstr>①実施したテストケースを比較</vt:lpstr>
      <vt:lpstr>②2-1_十分性_トレーサビリティ</vt:lpstr>
      <vt:lpstr>②2-2_十分性_3段階比較</vt:lpstr>
      <vt:lpstr>③実施内容</vt:lpstr>
      <vt:lpstr>④効率化_工数</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 Nandar Htwe</cp:lastModifiedBy>
  <cp:revision>0</cp:revision>
  <dcterms:created xsi:type="dcterms:W3CDTF">2026-07-23T00:48:43Z</dcterms:created>
  <dcterms:modified xsi:type="dcterms:W3CDTF">2026-07-23T01:56:38Z</dcterms:modified>
  <dc:language>en-US</dc:language>
</cp:coreProperties>
</file>