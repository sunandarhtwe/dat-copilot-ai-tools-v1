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①実施したテストケース" sheetId="2" state="visible" r:id="rId4"/>
    <sheet name="②-1_十分性_トレーサビリティ" sheetId="3" state="visible" r:id="rId5"/>
    <sheet name="②-2_十分性_3段階比較" sheetId="4" state="visible" r:id="rId6"/>
    <sheet name="③実施内容" sheetId="5" state="visible" r:id="rId7"/>
    <sheet name="④効率化_工数"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<sst xmlns="http://schemas.openxmlformats.org/spreadsheetml/2006/main" count="318" uniqueCount="190">
  <si>
    <r>
      <rPr>
        <b val="true"/>
        <sz val="16"/>
        <rFont val="MS Pゴシック"/>
        <family val="0"/>
        <charset val="1"/>
      </rPr>
      <t xml:space="preserve">AI</t>
    </r>
    <r>
      <rPr>
        <b val="true"/>
        <sz val="16"/>
        <rFont val="Noto Sans CJK SC"/>
        <family val="2"/>
      </rPr>
      <t xml:space="preserve">活用結合テスト検証報告書</t>
    </r>
  </si>
  <si>
    <t xml:space="preserve">【題材】投信残高注文画面（申込受付一覧・申込受付確認）</t>
  </si>
  <si>
    <t xml:space="preserve">案件名</t>
  </si>
  <si>
    <r>
      <rPr>
        <sz val="10"/>
        <rFont val="MS Pゴシック"/>
        <family val="0"/>
        <charset val="1"/>
      </rPr>
      <t xml:space="preserve">1158</t>
    </r>
    <r>
      <rPr>
        <sz val="10"/>
        <rFont val="Noto Sans CJK SC"/>
        <family val="2"/>
      </rPr>
      <t xml:space="preserve">【</t>
    </r>
    <r>
      <rPr>
        <sz val="10"/>
        <rFont val="MS Pゴシック"/>
        <family val="0"/>
        <charset val="1"/>
      </rPr>
      <t xml:space="preserve">FR</t>
    </r>
    <r>
      <rPr>
        <sz val="10"/>
        <rFont val="Noto Sans CJK SC"/>
        <family val="2"/>
      </rPr>
      <t xml:space="preserve">】</t>
    </r>
    <r>
      <rPr>
        <sz val="10"/>
        <rFont val="MS Pゴシック"/>
        <family val="0"/>
        <charset val="1"/>
      </rPr>
      <t xml:space="preserve">(</t>
    </r>
    <r>
      <rPr>
        <sz val="10"/>
        <rFont val="Noto Sans CJK SC"/>
        <family val="2"/>
      </rPr>
      <t xml:space="preserve">全社</t>
    </r>
    <r>
      <rPr>
        <sz val="10"/>
        <rFont val="MS Pゴシック"/>
        <family val="0"/>
        <charset val="1"/>
      </rPr>
      <t xml:space="preserve">)</t>
    </r>
    <r>
      <rPr>
        <sz val="10"/>
        <rFont val="Noto Sans CJK SC"/>
        <family val="2"/>
      </rPr>
      <t xml:space="preserve">非課税口座開設日の先日付</t>
    </r>
    <r>
      <rPr>
        <sz val="10"/>
        <rFont val="MS Pゴシック"/>
        <family val="0"/>
        <charset val="1"/>
      </rPr>
      <t xml:space="preserve">NISA</t>
    </r>
    <r>
      <rPr>
        <sz val="10"/>
        <rFont val="Noto Sans CJK SC"/>
        <family val="2"/>
      </rPr>
      <t xml:space="preserve">注文対応</t>
    </r>
  </si>
  <si>
    <t xml:space="preserve">依頼元</t>
  </si>
  <si>
    <r>
      <rPr>
        <sz val="10"/>
        <rFont val="Noto Sans CJK SC"/>
        <family val="2"/>
      </rPr>
      <t xml:space="preserve">藤村 大地／</t>
    </r>
    <r>
      <rPr>
        <sz val="10"/>
        <rFont val="MS Pゴシック"/>
        <family val="0"/>
        <charset val="1"/>
      </rPr>
      <t xml:space="preserve">DIR</t>
    </r>
    <r>
      <rPr>
        <sz val="10"/>
        <rFont val="Noto Sans CJK SC"/>
        <family val="2"/>
      </rPr>
      <t xml:space="preserve">金融フロントシステム第二部</t>
    </r>
  </si>
  <si>
    <t xml:space="preserve">本報告の位置づけ</t>
  </si>
  <si>
    <r>
      <rPr>
        <sz val="10"/>
        <rFont val="Noto Sans CJK SC"/>
        <family val="2"/>
      </rPr>
      <t xml:space="preserve">元々の依頼（結合テスト以降のテスト工程を</t>
    </r>
    <r>
      <rPr>
        <sz val="10"/>
        <rFont val="MS Pゴシック"/>
        <family val="0"/>
        <charset val="1"/>
      </rPr>
      <t xml:space="preserve">AI</t>
    </r>
    <r>
      <rPr>
        <sz val="10"/>
        <rFont val="Noto Sans CJK SC"/>
        <family val="2"/>
      </rPr>
      <t xml:space="preserve">活用により</t>
    </r>
    <r>
      <rPr>
        <sz val="10"/>
        <rFont val="MS Pゴシック"/>
        <family val="0"/>
        <charset val="1"/>
      </rPr>
      <t xml:space="preserve">DAT</t>
    </r>
    <r>
      <rPr>
        <sz val="10"/>
        <rFont val="Noto Sans CJK SC"/>
        <family val="2"/>
      </rPr>
      <t xml:space="preserve">のみで実施できることの検証・報告）に対し、対象範囲全体のうち「投信残高注文画面」</t>
    </r>
    <r>
      <rPr>
        <sz val="10"/>
        <rFont val="MS Pゴシック"/>
        <family val="0"/>
        <charset val="1"/>
      </rPr>
      <t xml:space="preserve">1</t>
    </r>
    <r>
      <rPr>
        <sz val="10"/>
        <rFont val="Noto Sans CJK SC"/>
        <family val="2"/>
      </rPr>
      <t xml:space="preserve">機能を代表例として選び、①実施したテストケース ②十分性および検証方法 ③実施内容 ④</t>
    </r>
    <r>
      <rPr>
        <sz val="10"/>
        <rFont val="MS Pゴシック"/>
        <family val="0"/>
        <charset val="1"/>
      </rPr>
      <t xml:space="preserve">AI</t>
    </r>
    <r>
      <rPr>
        <sz val="10"/>
        <rFont val="Noto Sans CJK SC"/>
        <family val="2"/>
      </rPr>
      <t xml:space="preserve">活用による効率化 の</t>
    </r>
    <r>
      <rPr>
        <sz val="10"/>
        <rFont val="MS Pゴシック"/>
        <family val="0"/>
        <charset val="1"/>
      </rPr>
      <t xml:space="preserve">4</t>
    </r>
    <r>
      <rPr>
        <sz val="10"/>
        <rFont val="Noto Sans CJK SC"/>
        <family val="2"/>
      </rPr>
      <t xml:space="preserve">点を他機能にも展開可能な粒度で深掘りして報告する。</t>
    </r>
  </si>
  <si>
    <t xml:space="preserve">選定理由</t>
  </si>
  <si>
    <r>
      <rPr>
        <sz val="10"/>
        <rFont val="Noto Sans CJK SC"/>
        <family val="2"/>
      </rPr>
      <t xml:space="preserve">投信残高注文画面は、①先日付</t>
    </r>
    <r>
      <rPr>
        <sz val="10"/>
        <rFont val="MS Pゴシック"/>
        <family val="0"/>
        <charset val="1"/>
      </rPr>
      <t xml:space="preserve">NISA</t>
    </r>
    <r>
      <rPr>
        <sz val="10"/>
        <rFont val="Noto Sans CJK SC"/>
        <family val="2"/>
      </rPr>
      <t xml:space="preserve">注文の受付（会社条件</t>
    </r>
    <r>
      <rPr>
        <sz val="10"/>
        <rFont val="MS Pゴシック"/>
        <family val="0"/>
        <charset val="1"/>
      </rPr>
      <t xml:space="preserve">393</t>
    </r>
    <r>
      <rPr>
        <sz val="10"/>
        <rFont val="Noto Sans CJK SC"/>
        <family val="2"/>
      </rPr>
      <t xml:space="preserve">）②夜間バッチによる口座未開設時の自動取消（バッチ取消フラグ）③画面表示ロジック（</t>
    </r>
    <r>
      <rPr>
        <sz val="10"/>
        <rFont val="MS Pゴシック"/>
        <family val="0"/>
        <charset val="1"/>
      </rPr>
      <t xml:space="preserve">MF</t>
    </r>
    <r>
      <rPr>
        <sz val="10"/>
        <rFont val="Noto Sans CJK SC"/>
        <family val="2"/>
      </rPr>
      <t xml:space="preserve">コード</t>
    </r>
    <r>
      <rPr>
        <sz val="10"/>
        <rFont val="MS Pゴシック"/>
        <family val="0"/>
        <charset val="1"/>
      </rPr>
      <t xml:space="preserve">055</t>
    </r>
    <r>
      <rPr>
        <sz val="10"/>
        <rFont val="Noto Sans CJK SC"/>
        <family val="2"/>
      </rPr>
      <t xml:space="preserve">・取消ボタン制御）の</t>
    </r>
    <r>
      <rPr>
        <sz val="10"/>
        <rFont val="MS Pゴシック"/>
        <family val="0"/>
        <charset val="1"/>
      </rPr>
      <t xml:space="preserve">3</t>
    </r>
    <r>
      <rPr>
        <sz val="10"/>
        <rFont val="Noto Sans CJK SC"/>
        <family val="2"/>
      </rPr>
      <t xml:space="preserve">層が</t>
    </r>
    <r>
      <rPr>
        <sz val="10"/>
        <rFont val="MS Pゴシック"/>
        <family val="0"/>
        <charset val="1"/>
      </rPr>
      <t xml:space="preserve">1</t>
    </r>
    <r>
      <rPr>
        <sz val="10"/>
        <rFont val="Noto Sans CJK SC"/>
        <family val="2"/>
      </rPr>
      <t xml:space="preserve">画面に集約されており、</t>
    </r>
    <r>
      <rPr>
        <sz val="10"/>
        <rFont val="MS Pゴシック"/>
        <family val="0"/>
        <charset val="1"/>
      </rPr>
      <t xml:space="preserve">AI</t>
    </r>
    <r>
      <rPr>
        <sz val="10"/>
        <rFont val="Noto Sans CJK SC"/>
        <family val="2"/>
      </rPr>
      <t xml:space="preserve">生成・人的レビュー・設計書精読という</t>
    </r>
    <r>
      <rPr>
        <sz val="10"/>
        <rFont val="MS Pゴシック"/>
        <family val="0"/>
        <charset val="1"/>
      </rPr>
      <t xml:space="preserve">3</t>
    </r>
    <r>
      <rPr>
        <sz val="10"/>
        <rFont val="Noto Sans CJK SC"/>
        <family val="2"/>
      </rPr>
      <t xml:space="preserve">段階の検証プロセスの効果を最も明確に示せるため。</t>
    </r>
  </si>
  <si>
    <t xml:space="preserve">目次</t>
  </si>
  <si>
    <r>
      <rPr>
        <sz val="10"/>
        <rFont val="Noto Sans CJK SC"/>
        <family val="2"/>
      </rPr>
      <t xml:space="preserve">・①実施したテストケース（全</t>
    </r>
    <r>
      <rPr>
        <sz val="10"/>
        <rFont val="MS Pゴシック"/>
        <family val="0"/>
        <charset val="1"/>
      </rPr>
      <t xml:space="preserve">16</t>
    </r>
    <r>
      <rPr>
        <sz val="10"/>
        <rFont val="Noto Sans CJK SC"/>
        <family val="2"/>
      </rPr>
      <t xml:space="preserve">件詳細）</t>
    </r>
  </si>
  <si>
    <r>
      <rPr>
        <sz val="10"/>
        <rFont val="Noto Sans CJK SC"/>
        <family val="2"/>
      </rPr>
      <t xml:space="preserve">・②</t>
    </r>
    <r>
      <rPr>
        <sz val="10"/>
        <rFont val="MS Pゴシック"/>
        <family val="0"/>
        <charset val="1"/>
      </rPr>
      <t xml:space="preserve">-1 </t>
    </r>
    <r>
      <rPr>
        <sz val="10"/>
        <rFont val="Noto Sans CJK SC"/>
        <family val="2"/>
      </rPr>
      <t xml:space="preserve">十分性検証（要件定義書トレーサビリティ）</t>
    </r>
  </si>
  <si>
    <r>
      <rPr>
        <sz val="10"/>
        <rFont val="Noto Sans CJK SC"/>
        <family val="2"/>
      </rPr>
      <t xml:space="preserve">・②</t>
    </r>
    <r>
      <rPr>
        <sz val="10"/>
        <rFont val="MS Pゴシック"/>
        <family val="0"/>
        <charset val="1"/>
      </rPr>
      <t xml:space="preserve">-2 </t>
    </r>
    <r>
      <rPr>
        <sz val="10"/>
        <rFont val="Noto Sans CJK SC"/>
        <family val="2"/>
      </rPr>
      <t xml:space="preserve">十分性検証（</t>
    </r>
    <r>
      <rPr>
        <sz val="10"/>
        <rFont val="MS Pゴシック"/>
        <family val="0"/>
        <charset val="1"/>
      </rPr>
      <t xml:space="preserve">3</t>
    </r>
    <r>
      <rPr>
        <sz val="10"/>
        <rFont val="Noto Sans CJK SC"/>
        <family val="2"/>
      </rPr>
      <t xml:space="preserve">段階検出プロセスの比較）</t>
    </r>
  </si>
  <si>
    <t xml:space="preserve">・③実施内容（詳細タイムライン）</t>
  </si>
  <si>
    <r>
      <rPr>
        <sz val="10"/>
        <rFont val="Noto Sans CJK SC"/>
        <family val="2"/>
      </rPr>
      <t xml:space="preserve">・④</t>
    </r>
    <r>
      <rPr>
        <sz val="10"/>
        <rFont val="MS Pゴシック"/>
        <family val="0"/>
        <charset val="1"/>
      </rPr>
      <t xml:space="preserve">AI</t>
    </r>
    <r>
      <rPr>
        <sz val="10"/>
        <rFont val="Noto Sans CJK SC"/>
        <family val="2"/>
      </rPr>
      <t xml:space="preserve">活用による効率化（工数）</t>
    </r>
  </si>
  <si>
    <t xml:space="preserve">凡例</t>
  </si>
  <si>
    <t xml:space="preserve">黄色セル</t>
  </si>
  <si>
    <t xml:space="preserve">実績値の記入が必要な項目</t>
  </si>
  <si>
    <t xml:space="preserve">緑色セル</t>
  </si>
  <si>
    <r>
      <rPr>
        <sz val="10"/>
        <rFont val="MS Pゴシック"/>
        <family val="0"/>
        <charset val="1"/>
      </rPr>
      <t xml:space="preserve">AI</t>
    </r>
    <r>
      <rPr>
        <sz val="10"/>
        <rFont val="Noto Sans CJK SC"/>
        <family val="2"/>
      </rPr>
      <t xml:space="preserve">生成・人的レビューいずれでも検出されず、設計書精読により新たに検出した観点</t>
    </r>
  </si>
  <si>
    <t xml:space="preserve">橙色セル</t>
  </si>
  <si>
    <t xml:space="preserve">今後の課題として残る未実施範囲</t>
  </si>
  <si>
    <r>
      <rPr>
        <b val="true"/>
        <sz val="16"/>
        <rFont val="Noto Sans CJK SC"/>
        <family val="2"/>
      </rPr>
      <t xml:space="preserve">①実施したテストケース　―　投信残高注文画面　全</t>
    </r>
    <r>
      <rPr>
        <b val="true"/>
        <sz val="16"/>
        <rFont val="MS Pゴシック"/>
        <family val="0"/>
        <charset val="1"/>
      </rPr>
      <t xml:space="preserve">16</t>
    </r>
    <r>
      <rPr>
        <b val="true"/>
        <sz val="16"/>
        <rFont val="Noto Sans CJK SC"/>
        <family val="2"/>
      </rPr>
      <t xml:space="preserve">件</t>
    </r>
  </si>
  <si>
    <r>
      <rPr>
        <sz val="10"/>
        <rFont val="Noto Sans CJK SC"/>
        <family val="2"/>
      </rPr>
      <t xml:space="preserve">対象ロジック：ホスト送信状況</t>
    </r>
    <r>
      <rPr>
        <sz val="10"/>
        <rFont val="MS Pゴシック"/>
        <family val="0"/>
        <charset val="1"/>
      </rPr>
      <t xml:space="preserve">×</t>
    </r>
    <r>
      <rPr>
        <sz val="10"/>
        <rFont val="Noto Sans CJK SC"/>
        <family val="2"/>
      </rPr>
      <t xml:space="preserve">バッチ取消フラグによる「失効」表示判定、および申込受付確認画面の取消ボタン表示制御。すべてのケースは会社条件</t>
    </r>
    <r>
      <rPr>
        <sz val="10"/>
        <rFont val="MS Pゴシック"/>
        <family val="0"/>
        <charset val="1"/>
      </rPr>
      <t xml:space="preserve">[393]=1</t>
    </r>
    <r>
      <rPr>
        <sz val="10"/>
        <rFont val="Noto Sans CJK SC"/>
        <family val="2"/>
      </rPr>
      <t xml:space="preserve">（非課税簡易開設先日付</t>
    </r>
    <r>
      <rPr>
        <sz val="10"/>
        <rFont val="MS Pゴシック"/>
        <family val="0"/>
        <charset val="1"/>
      </rPr>
      <t xml:space="preserve">NISA</t>
    </r>
    <r>
      <rPr>
        <sz val="10"/>
        <rFont val="Noto Sans CJK SC"/>
        <family val="2"/>
      </rPr>
      <t xml:space="preserve">注文可能フラグ：可）のもとで申込日付がシステム日付より先日付（先日付</t>
    </r>
    <r>
      <rPr>
        <sz val="10"/>
        <rFont val="MS Pゴシック"/>
        <family val="0"/>
        <charset val="1"/>
      </rPr>
      <t xml:space="preserve">NISA</t>
    </r>
    <r>
      <rPr>
        <sz val="10"/>
        <rFont val="Noto Sans CJK SC"/>
        <family val="2"/>
      </rPr>
      <t xml:space="preserve">注文）であることを前提とする。</t>
    </r>
  </si>
  <si>
    <t xml:space="preserve">No.</t>
  </si>
  <si>
    <t xml:space="preserve">画面</t>
  </si>
  <si>
    <t xml:space="preserve">システム日付</t>
  </si>
  <si>
    <t xml:space="preserve">申込日付
（先日付）</t>
  </si>
  <si>
    <r>
      <rPr>
        <b val="true"/>
        <sz val="10"/>
        <color rgb="FFFFFFFF"/>
        <rFont val="Noto Sans CJK SC"/>
        <family val="2"/>
      </rPr>
      <t xml:space="preserve">会社条件</t>
    </r>
    <r>
      <rPr>
        <b val="true"/>
        <sz val="10"/>
        <color rgb="FFFFFFFF"/>
        <rFont val="MS Pゴシック"/>
        <family val="0"/>
        <charset val="1"/>
      </rPr>
      <t xml:space="preserve">[393]</t>
    </r>
  </si>
  <si>
    <t xml:space="preserve">ホスト送信状況</t>
  </si>
  <si>
    <t xml:space="preserve">バッチ取消フラグ</t>
  </si>
  <si>
    <t xml:space="preserve">証券口座番号／受付番号</t>
  </si>
  <si>
    <t xml:space="preserve">期待結果</t>
  </si>
  <si>
    <t xml:space="preserve">備考</t>
  </si>
  <si>
    <t xml:space="preserve">申込受付一覧</t>
  </si>
  <si>
    <t xml:space="preserve">2026/02/25</t>
  </si>
  <si>
    <t xml:space="preserve">2026/02/27</t>
  </si>
  <si>
    <r>
      <rPr>
        <sz val="10"/>
        <rFont val="MS Pゴシック"/>
        <family val="0"/>
        <charset val="1"/>
      </rPr>
      <t xml:space="preserve">393=1</t>
    </r>
    <r>
      <rPr>
        <sz val="10"/>
        <rFont val="Noto Sans CJK SC"/>
        <family val="2"/>
      </rPr>
      <t xml:space="preserve">（非課税簡易開設先日付</t>
    </r>
    <r>
      <rPr>
        <sz val="10"/>
        <rFont val="MS Pゴシック"/>
        <family val="0"/>
        <charset val="1"/>
      </rPr>
      <t xml:space="preserve">NISA</t>
    </r>
    <r>
      <rPr>
        <sz val="10"/>
        <rFont val="Noto Sans CJK SC"/>
        <family val="2"/>
      </rPr>
      <t xml:space="preserve">注文可能フラグ：可）</t>
    </r>
  </si>
  <si>
    <r>
      <rPr>
        <sz val="10"/>
        <rFont val="Noto Sans CJK SC"/>
        <family val="2"/>
      </rPr>
      <t xml:space="preserve">未処理</t>
    </r>
    <r>
      <rPr>
        <sz val="10"/>
        <rFont val="MS Pゴシック"/>
        <family val="0"/>
        <charset val="1"/>
      </rPr>
      <t xml:space="preserve">(0)</t>
    </r>
  </si>
  <si>
    <r>
      <rPr>
        <sz val="10"/>
        <rFont val="Noto Sans CJK SC"/>
        <family val="2"/>
      </rPr>
      <t xml:space="preserve">なし</t>
    </r>
    <r>
      <rPr>
        <sz val="10"/>
        <rFont val="MS Pゴシック"/>
        <family val="0"/>
        <charset val="1"/>
      </rPr>
      <t xml:space="preserve">(0)</t>
    </r>
  </si>
  <si>
    <t xml:space="preserve">021-0066494 / 0000145661</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</si>
  <si>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t>
    </r>
  </si>
  <si>
    <t xml:space="preserve">既存仕様の回帰確認</t>
  </si>
  <si>
    <r>
      <rPr>
        <sz val="10"/>
        <rFont val="Noto Sans CJK SC"/>
        <family val="2"/>
      </rPr>
      <t xml:space="preserve">あり</t>
    </r>
    <r>
      <rPr>
        <sz val="10"/>
        <rFont val="MS Pゴシック"/>
        <family val="0"/>
        <charset val="1"/>
      </rPr>
      <t xml:space="preserve">(1)</t>
    </r>
  </si>
  <si>
    <t xml:space="preserve">021-0307012 / 0000145662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</si>
  <si>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の名称「未処理」（変化なし、「失効」ではない）</t>
    </r>
  </si>
  <si>
    <r>
      <rPr>
        <sz val="10"/>
        <rFont val="Noto Sans CJK SC"/>
        <family val="2"/>
      </rPr>
      <t xml:space="preserve">★境界値：バッチ取消フラグのみが立ちホスト送信状況が</t>
    </r>
    <r>
      <rPr>
        <sz val="10"/>
        <rFont val="MS Pゴシック"/>
        <family val="0"/>
        <charset val="1"/>
      </rPr>
      <t xml:space="preserve">9</t>
    </r>
    <r>
      <rPr>
        <sz val="10"/>
        <rFont val="Noto Sans CJK SC"/>
        <family val="2"/>
      </rPr>
      <t xml:space="preserve">でない場合は「失効」としないこと</t>
    </r>
  </si>
  <si>
    <r>
      <rPr>
        <sz val="10"/>
        <rFont val="Noto Sans CJK SC"/>
        <family val="2"/>
      </rPr>
      <t xml:space="preserve">処理中</t>
    </r>
    <r>
      <rPr>
        <sz val="10"/>
        <rFont val="MS Pゴシック"/>
        <family val="0"/>
        <charset val="1"/>
      </rPr>
      <t xml:space="preserve">(1)</t>
    </r>
  </si>
  <si>
    <t xml:space="preserve">027-1041874 / 0000145673</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</si>
  <si>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t>
    </r>
  </si>
  <si>
    <t xml:space="preserve">027-1041875 / 0000145674</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</si>
  <si>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の名称「処理中」（変化なし、「失効」ではない）</t>
    </r>
  </si>
  <si>
    <r>
      <rPr>
        <sz val="10"/>
        <rFont val="Noto Sans CJK SC"/>
        <family val="2"/>
      </rPr>
      <t xml:space="preserve">処理済</t>
    </r>
    <r>
      <rPr>
        <sz val="10"/>
        <rFont val="MS Pゴシック"/>
        <family val="0"/>
        <charset val="1"/>
      </rPr>
      <t xml:space="preserve">(2)</t>
    </r>
  </si>
  <si>
    <t xml:space="preserve">034-5200267 / 0000145731</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</si>
  <si>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t>
    </r>
  </si>
  <si>
    <t xml:space="preserve">034-5200268 / 0000145732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</si>
  <si>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の名称「処理済」（変化なし、「失効」ではない）</t>
    </r>
  </si>
  <si>
    <r>
      <rPr>
        <sz val="10"/>
        <rFont val="Noto Sans CJK SC"/>
        <family val="2"/>
      </rPr>
      <t xml:space="preserve">取消済</t>
    </r>
    <r>
      <rPr>
        <sz val="10"/>
        <rFont val="MS Pゴシック"/>
        <family val="0"/>
        <charset val="1"/>
      </rPr>
      <t xml:space="preserve">(9)</t>
    </r>
  </si>
  <si>
    <t xml:space="preserve">021-0307016 / 0000145682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</si>
  <si>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[055-9]</t>
    </r>
    <r>
      <rPr>
        <sz val="10"/>
        <rFont val="Noto Sans CJK SC"/>
        <family val="2"/>
      </rPr>
      <t xml:space="preserve">相当の通常の取消済コード（「失効」ではない）</t>
    </r>
  </si>
  <si>
    <r>
      <rPr>
        <sz val="10"/>
        <rFont val="Noto Sans CJK SC"/>
        <family val="2"/>
      </rPr>
      <t xml:space="preserve">★境界値：ホスト送信状況</t>
    </r>
    <r>
      <rPr>
        <sz val="10"/>
        <rFont val="MS Pゴシック"/>
        <family val="0"/>
        <charset val="1"/>
      </rPr>
      <t xml:space="preserve">9</t>
    </r>
    <r>
      <rPr>
        <sz val="10"/>
        <rFont val="Noto Sans CJK SC"/>
        <family val="2"/>
      </rPr>
      <t xml:space="preserve">のみでフラグが立たない場合は「失効」としないこと</t>
    </r>
  </si>
  <si>
    <t xml:space="preserve">038-0012097 / 0000145743</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</si>
  <si>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の名称「失効」</t>
    </r>
  </si>
  <si>
    <r>
      <rPr>
        <sz val="10"/>
        <rFont val="Noto Sans CJK SC"/>
        <family val="2"/>
      </rPr>
      <t xml:space="preserve">★新規ロジック：</t>
    </r>
    <r>
      <rPr>
        <sz val="10"/>
        <rFont val="MS Pゴシック"/>
        <family val="0"/>
        <charset val="1"/>
      </rPr>
      <t xml:space="preserve">design doc</t>
    </r>
    <r>
      <rPr>
        <sz val="10"/>
        <rFont val="Noto Sans CJK SC"/>
        <family val="2"/>
      </rPr>
      <t xml:space="preserve">準拠（ホスト送信状況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t>
    </r>
  </si>
  <si>
    <t xml:space="preserve">申込受付確認</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</si>
  <si>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の名称「未処理」／取消ボタン：表示（ホスト送信状況が</t>
    </r>
    <r>
      <rPr>
        <sz val="10"/>
        <rFont val="MS Pゴシック"/>
        <family val="0"/>
        <charset val="1"/>
      </rPr>
      <t xml:space="preserve">0</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</si>
  <si>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の名称「未処理」（変化なし、「失効」ではない）／取消ボタン：表示（ホスト送信状況が</t>
    </r>
    <r>
      <rPr>
        <sz val="10"/>
        <rFont val="MS Pゴシック"/>
        <family val="0"/>
        <charset val="1"/>
      </rPr>
      <t xml:space="preserve">0</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</si>
  <si>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の名称「処理中」／取消ボタン：非表示（ホスト送信状況が</t>
    </r>
    <r>
      <rPr>
        <sz val="10"/>
        <rFont val="MS Pゴシック"/>
        <family val="0"/>
        <charset val="1"/>
      </rPr>
      <t xml:space="preserve">1</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</si>
  <si>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の名称「処理中」（変化なし、「失効」ではない）／取消ボタン：非表示（ホスト送信状況が</t>
    </r>
    <r>
      <rPr>
        <sz val="10"/>
        <rFont val="MS Pゴシック"/>
        <family val="0"/>
        <charset val="1"/>
      </rPr>
      <t xml:space="preserve">1</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</si>
  <si>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の名称「処理済」／取消ボタン：非表示（ホスト送信状況が</t>
    </r>
    <r>
      <rPr>
        <sz val="10"/>
        <rFont val="MS Pゴシック"/>
        <family val="0"/>
        <charset val="1"/>
      </rPr>
      <t xml:space="preserve">2</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</si>
  <si>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の名称「処理済」（変化なし、「失効」ではない）／取消ボタン：非表示（ホスト送信状況が</t>
    </r>
    <r>
      <rPr>
        <sz val="10"/>
        <rFont val="MS Pゴシック"/>
        <family val="0"/>
        <charset val="1"/>
      </rPr>
      <t xml:space="preserve">2</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</si>
  <si>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[055-9]</t>
    </r>
    <r>
      <rPr>
        <sz val="10"/>
        <rFont val="Noto Sans CJK SC"/>
        <family val="2"/>
      </rPr>
      <t xml:space="preserve">相当の通常の取消済コード（「失効」ではない）／取消ボタン：非表示（ホスト送信状況が</t>
    </r>
    <r>
      <rPr>
        <sz val="10"/>
        <rFont val="MS Pゴシック"/>
        <family val="0"/>
        <charset val="1"/>
      </rPr>
      <t xml:space="preserve">9</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</si>
  <si>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の名称「失効」／取消ボタン：非表示（ホスト送信状況の実値が</t>
    </r>
    <r>
      <rPr>
        <sz val="10"/>
        <rFont val="MS Pゴシック"/>
        <family val="0"/>
        <charset val="1"/>
      </rPr>
      <t xml:space="preserve">9</t>
    </r>
    <r>
      <rPr>
        <sz val="10"/>
        <rFont val="Noto Sans CJK SC"/>
        <family val="2"/>
      </rPr>
      <t xml:space="preserve">のため）</t>
    </r>
  </si>
  <si>
    <r>
      <rPr>
        <b val="true"/>
        <sz val="10"/>
        <rFont val="Noto Sans CJK SC"/>
        <family val="2"/>
      </rPr>
      <t xml:space="preserve">内訳：申込受付一覧</t>
    </r>
    <r>
      <rPr>
        <b val="true"/>
        <sz val="10"/>
        <rFont val="MS Pゴシック"/>
        <family val="0"/>
        <charset val="1"/>
      </rPr>
      <t xml:space="preserve">8</t>
    </r>
    <r>
      <rPr>
        <b val="true"/>
        <sz val="10"/>
        <rFont val="Noto Sans CJK SC"/>
        <family val="2"/>
      </rPr>
      <t xml:space="preserve">件（</t>
    </r>
    <r>
      <rPr>
        <b val="true"/>
        <sz val="10"/>
        <rFont val="MS Pゴシック"/>
        <family val="0"/>
        <charset val="1"/>
      </rPr>
      <t xml:space="preserve">No.1</t>
    </r>
    <r>
      <rPr>
        <b val="true"/>
        <sz val="10"/>
        <rFont val="Noto Sans CJK SC"/>
        <family val="2"/>
      </rPr>
      <t xml:space="preserve">〜</t>
    </r>
    <r>
      <rPr>
        <b val="true"/>
        <sz val="10"/>
        <rFont val="MS Pゴシック"/>
        <family val="0"/>
        <charset val="1"/>
      </rPr>
      <t xml:space="preserve">8</t>
    </r>
    <r>
      <rPr>
        <b val="true"/>
        <sz val="10"/>
        <rFont val="Noto Sans CJK SC"/>
        <family val="2"/>
      </rPr>
      <t xml:space="preserve">）＋申込受付確認</t>
    </r>
    <r>
      <rPr>
        <b val="true"/>
        <sz val="10"/>
        <rFont val="MS Pゴシック"/>
        <family val="0"/>
        <charset val="1"/>
      </rPr>
      <t xml:space="preserve">8</t>
    </r>
    <r>
      <rPr>
        <b val="true"/>
        <sz val="10"/>
        <rFont val="Noto Sans CJK SC"/>
        <family val="2"/>
      </rPr>
      <t xml:space="preserve">件（</t>
    </r>
    <r>
      <rPr>
        <b val="true"/>
        <sz val="10"/>
        <rFont val="MS Pゴシック"/>
        <family val="0"/>
        <charset val="1"/>
      </rPr>
      <t xml:space="preserve">No.9</t>
    </r>
    <r>
      <rPr>
        <b val="true"/>
        <sz val="10"/>
        <rFont val="Noto Sans CJK SC"/>
        <family val="2"/>
      </rPr>
      <t xml:space="preserve">〜</t>
    </r>
    <r>
      <rPr>
        <b val="true"/>
        <sz val="10"/>
        <rFont val="MS Pゴシック"/>
        <family val="0"/>
        <charset val="1"/>
      </rPr>
      <t xml:space="preserve">16</t>
    </r>
    <r>
      <rPr>
        <b val="true"/>
        <sz val="10"/>
        <rFont val="Noto Sans CJK SC"/>
        <family val="2"/>
      </rPr>
      <t xml:space="preserve">）＝計</t>
    </r>
    <r>
      <rPr>
        <b val="true"/>
        <sz val="10"/>
        <rFont val="MS Pゴシック"/>
        <family val="0"/>
        <charset val="1"/>
      </rPr>
      <t xml:space="preserve">16</t>
    </r>
    <r>
      <rPr>
        <b val="true"/>
        <sz val="10"/>
        <rFont val="Noto Sans CJK SC"/>
        <family val="2"/>
      </rPr>
      <t xml:space="preserve">件</t>
    </r>
  </si>
  <si>
    <r>
      <rPr>
        <sz val="10"/>
        <rFont val="Noto Sans CJK SC"/>
        <family val="2"/>
      </rPr>
      <t xml:space="preserve">うち★緑色＝</t>
    </r>
    <r>
      <rPr>
        <sz val="10"/>
        <rFont val="MS Pゴシック"/>
        <family val="0"/>
        <charset val="1"/>
      </rPr>
      <t xml:space="preserve">10</t>
    </r>
    <r>
      <rPr>
        <sz val="10"/>
        <rFont val="Noto Sans CJK SC"/>
        <family val="2"/>
      </rPr>
      <t xml:space="preserve">件が設計書精読で新規検出した観点（本命ロジック</t>
    </r>
    <r>
      <rPr>
        <sz val="10"/>
        <rFont val="MS Pゴシック"/>
        <family val="0"/>
        <charset val="1"/>
      </rPr>
      <t xml:space="preserve">2</t>
    </r>
    <r>
      <rPr>
        <sz val="10"/>
        <rFont val="Noto Sans CJK SC"/>
        <family val="2"/>
      </rPr>
      <t xml:space="preserve">件＋境界値</t>
    </r>
    <r>
      <rPr>
        <sz val="10"/>
        <rFont val="MS Pゴシック"/>
        <family val="0"/>
        <charset val="1"/>
      </rPr>
      <t xml:space="preserve">8</t>
    </r>
    <r>
      <rPr>
        <sz val="10"/>
        <rFont val="Noto Sans CJK SC"/>
        <family val="2"/>
      </rPr>
      <t xml:space="preserve">件）、残り</t>
    </r>
    <r>
      <rPr>
        <sz val="10"/>
        <rFont val="MS Pゴシック"/>
        <family val="0"/>
        <charset val="1"/>
      </rPr>
      <t xml:space="preserve">6</t>
    </r>
    <r>
      <rPr>
        <sz val="10"/>
        <rFont val="Noto Sans CJK SC"/>
        <family val="2"/>
      </rPr>
      <t xml:space="preserve">件は既存仕様の回帰確認</t>
    </r>
  </si>
  <si>
    <r>
      <rPr>
        <b val="true"/>
        <sz val="16"/>
        <rFont val="MS Pゴシック"/>
        <family val="0"/>
        <charset val="1"/>
      </rPr>
      <t xml:space="preserve">②-1 </t>
    </r>
    <r>
      <rPr>
        <b val="true"/>
        <sz val="16"/>
        <rFont val="Noto Sans CJK SC"/>
        <family val="2"/>
      </rPr>
      <t xml:space="preserve">十分性の検証方法　―　要件定義書トレーサビリティ</t>
    </r>
  </si>
  <si>
    <r>
      <rPr>
        <sz val="10"/>
        <rFont val="Noto Sans CJK SC"/>
        <family val="2"/>
      </rPr>
      <t xml:space="preserve">「設計書との比較に基づくカバレッジの数値・一覧」のみでは不十分との指摘を踏まえ、要件定義書「</t>
    </r>
    <r>
      <rPr>
        <sz val="10"/>
        <rFont val="MS Pゴシック"/>
        <family val="0"/>
        <charset val="1"/>
      </rPr>
      <t xml:space="preserve">11.1.1</t>
    </r>
    <r>
      <rPr>
        <sz val="10"/>
        <rFont val="Noto Sans CJK SC"/>
        <family val="2"/>
      </rPr>
      <t xml:space="preserve">．システム機能概要」に記載された対応内容と、実際に作成したテストケースを</t>
    </r>
    <r>
      <rPr>
        <sz val="10"/>
        <rFont val="MS Pゴシック"/>
        <family val="0"/>
        <charset val="1"/>
      </rPr>
      <t xml:space="preserve">1</t>
    </r>
    <r>
      <rPr>
        <sz val="10"/>
        <rFont val="Noto Sans CJK SC"/>
        <family val="2"/>
      </rPr>
      <t xml:space="preserve">行ずつ突合し、要件定義書レベルで見た時のカバー漏れがないかを確認した。</t>
    </r>
  </si>
  <si>
    <t xml:space="preserve">要件定義書 対応内容（投信残高注文に関連する範囲）</t>
  </si>
  <si>
    <t xml:space="preserve">根拠資料</t>
  </si>
  <si>
    <t xml:space="preserve">対応テストケース</t>
  </si>
  <si>
    <t xml:space="preserve">カバー状況</t>
  </si>
  <si>
    <r>
      <rPr>
        <sz val="10"/>
        <rFont val="Noto Sans CJK SC"/>
        <family val="2"/>
      </rPr>
      <t xml:space="preserve">非課税口座に紐づく先日付</t>
    </r>
    <r>
      <rPr>
        <sz val="10"/>
        <rFont val="MS Pゴシック"/>
        <family val="0"/>
        <charset val="1"/>
      </rPr>
      <t xml:space="preserve">NISA</t>
    </r>
    <r>
      <rPr>
        <sz val="10"/>
        <rFont val="Noto Sans CJK SC"/>
        <family val="2"/>
      </rPr>
      <t xml:space="preserve">注文が存在する場合、注文が存在している旨のメッセージを表示する（本部検印・営業店検印）</t>
    </r>
  </si>
  <si>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対応事項①</t>
    </r>
  </si>
  <si>
    <t xml:space="preserve">対象外（本部検印・営業店検印は別画面のため今回の題材範囲外）</t>
  </si>
  <si>
    <t xml:space="preserve">△ 範囲外（次段階の課題）</t>
  </si>
  <si>
    <t xml:space="preserve">非課税口座開設を却下した場合、却下した非課税口座を未開設状態とする</t>
  </si>
  <si>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対応事項②</t>
    </r>
  </si>
  <si>
    <t xml:space="preserve">対象外（口座開設バッチ自体のロジックは今回の題材範囲外）</t>
  </si>
  <si>
    <r>
      <rPr>
        <sz val="10"/>
        <rFont val="Noto Sans CJK SC"/>
        <family val="2"/>
      </rPr>
      <t xml:space="preserve">夜間バッチで</t>
    </r>
    <r>
      <rPr>
        <sz val="10"/>
        <rFont val="MS Pゴシック"/>
        <family val="0"/>
        <charset val="1"/>
      </rPr>
      <t xml:space="preserve">MF</t>
    </r>
    <r>
      <rPr>
        <sz val="10"/>
        <rFont val="Noto Sans CJK SC"/>
        <family val="2"/>
      </rPr>
      <t xml:space="preserve">システムから非課税口座データが連携されない場合、当該非課税口座を未開設状態とし、紐づく先日付</t>
    </r>
    <r>
      <rPr>
        <sz val="10"/>
        <rFont val="MS Pゴシック"/>
        <family val="0"/>
        <charset val="1"/>
      </rPr>
      <t xml:space="preserve">NISA</t>
    </r>
    <r>
      <rPr>
        <sz val="10"/>
        <rFont val="Noto Sans CJK SC"/>
        <family val="2"/>
      </rPr>
      <t xml:space="preserve">注文の取消を行う</t>
    </r>
  </si>
  <si>
    <r>
      <rPr>
        <sz val="10"/>
        <rFont val="MS Pゴシック"/>
        <family val="0"/>
        <charset val="1"/>
      </rPr>
      <t xml:space="preserve">No.2,4,6,7,8</t>
    </r>
    <r>
      <rPr>
        <sz val="10"/>
        <rFont val="Noto Sans CJK SC"/>
        <family val="2"/>
      </rPr>
      <t xml:space="preserve">／</t>
    </r>
    <r>
      <rPr>
        <sz val="10"/>
        <rFont val="MS Pゴシック"/>
        <family val="0"/>
        <charset val="1"/>
      </rPr>
      <t xml:space="preserve">No.10,12,14,15,16</t>
    </r>
  </si>
  <si>
    <t xml:space="preserve">○ カバー済</t>
  </si>
  <si>
    <r>
      <rPr>
        <sz val="10"/>
        <rFont val="Noto Sans CJK SC"/>
        <family val="2"/>
      </rPr>
      <t xml:space="preserve">夜間バッチ処理後の先日付</t>
    </r>
    <r>
      <rPr>
        <sz val="10"/>
        <rFont val="MS Pゴシック"/>
        <family val="0"/>
        <charset val="1"/>
      </rPr>
      <t xml:space="preserve">NISA</t>
    </r>
    <r>
      <rPr>
        <sz val="10"/>
        <rFont val="Noto Sans CJK SC"/>
        <family val="2"/>
      </rPr>
      <t xml:space="preserve">注文状況を、投信残高注文（申込受付一覧）にて表示する</t>
    </r>
  </si>
  <si>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対応事項③、画面一覧</t>
    </r>
    <r>
      <rPr>
        <sz val="10"/>
        <rFont val="MS Pゴシック"/>
        <family val="0"/>
        <charset val="1"/>
      </rPr>
      <t xml:space="preserve">11.2.1</t>
    </r>
  </si>
  <si>
    <r>
      <rPr>
        <sz val="10"/>
        <rFont val="MS Pゴシック"/>
        <family val="0"/>
        <charset val="1"/>
      </rPr>
      <t xml:space="preserve">No.1</t>
    </r>
    <r>
      <rPr>
        <sz val="10"/>
        <rFont val="Noto Sans CJK SC"/>
        <family val="2"/>
      </rPr>
      <t xml:space="preserve">〜</t>
    </r>
    <r>
      <rPr>
        <sz val="10"/>
        <rFont val="MS Pゴシック"/>
        <family val="0"/>
        <charset val="1"/>
      </rPr>
      <t xml:space="preserve">8</t>
    </r>
    <r>
      <rPr>
        <sz val="10"/>
        <rFont val="Noto Sans CJK SC"/>
        <family val="2"/>
      </rPr>
      <t xml:space="preserve">（申込受付一覧）</t>
    </r>
  </si>
  <si>
    <t xml:space="preserve">同状況を申込受付確認画面（一覧の確認ボタン押下後）でも整合して表示する</t>
  </si>
  <si>
    <r>
      <rPr>
        <sz val="10"/>
        <rFont val="Noto Sans CJK SC"/>
        <family val="2"/>
      </rPr>
      <t xml:space="preserve">機能設計書 画面項目</t>
    </r>
    <r>
      <rPr>
        <sz val="10"/>
        <rFont val="MS Pゴシック"/>
        <family val="0"/>
        <charset val="1"/>
      </rPr>
      <t xml:space="preserve">21-2</t>
    </r>
  </si>
  <si>
    <r>
      <rPr>
        <sz val="10"/>
        <rFont val="MS Pゴシック"/>
        <family val="0"/>
        <charset val="1"/>
      </rPr>
      <t xml:space="preserve">No.9</t>
    </r>
    <r>
      <rPr>
        <sz val="10"/>
        <rFont val="Noto Sans CJK SC"/>
        <family val="2"/>
      </rPr>
      <t xml:space="preserve">〜</t>
    </r>
    <r>
      <rPr>
        <sz val="10"/>
        <rFont val="MS Pゴシック"/>
        <family val="0"/>
        <charset val="1"/>
      </rPr>
      <t xml:space="preserve">16</t>
    </r>
    <r>
      <rPr>
        <sz val="10"/>
        <rFont val="Noto Sans CJK SC"/>
        <family val="2"/>
      </rPr>
      <t xml:space="preserve">（申込受付確認）</t>
    </r>
  </si>
  <si>
    <r>
      <rPr>
        <sz val="10"/>
        <rFont val="Noto Sans CJK SC"/>
        <family val="2"/>
      </rPr>
      <t xml:space="preserve">確認画面における取消ボタンの表示制御（ホスト送信状況が</t>
    </r>
    <r>
      <rPr>
        <sz val="10"/>
        <rFont val="MS Pゴシック"/>
        <family val="0"/>
        <charset val="1"/>
      </rPr>
      <t xml:space="preserve">1/2/9</t>
    </r>
    <r>
      <rPr>
        <sz val="10"/>
        <rFont val="Noto Sans CJK SC"/>
        <family val="2"/>
      </rPr>
      <t xml:space="preserve">の場合は非表示）</t>
    </r>
  </si>
  <si>
    <r>
      <rPr>
        <sz val="10"/>
        <rFont val="Noto Sans CJK SC"/>
        <family val="2"/>
      </rPr>
      <t xml:space="preserve">機能設計書 画面項目</t>
    </r>
    <r>
      <rPr>
        <sz val="10"/>
        <rFont val="MS Pゴシック"/>
        <family val="0"/>
        <charset val="1"/>
      </rPr>
      <t xml:space="preserve">13</t>
    </r>
  </si>
  <si>
    <r>
      <rPr>
        <sz val="10"/>
        <rFont val="MS Pゴシック"/>
        <family val="0"/>
        <charset val="1"/>
      </rPr>
      <t xml:space="preserve">No.9</t>
    </r>
    <r>
      <rPr>
        <sz val="10"/>
        <rFont val="Noto Sans CJK SC"/>
        <family val="2"/>
      </rPr>
      <t xml:space="preserve">〜</t>
    </r>
    <r>
      <rPr>
        <sz val="10"/>
        <rFont val="MS Pゴシック"/>
        <family val="0"/>
        <charset val="1"/>
      </rPr>
      <t xml:space="preserve">16</t>
    </r>
    <r>
      <rPr>
        <sz val="10"/>
        <rFont val="Noto Sans CJK SC"/>
        <family val="2"/>
      </rPr>
      <t xml:space="preserve">（申込受付確認、取消ボタン列）</t>
    </r>
  </si>
  <si>
    <r>
      <rPr>
        <b val="true"/>
        <sz val="10"/>
        <rFont val="Noto Sans CJK SC"/>
        <family val="2"/>
      </rPr>
      <t xml:space="preserve">結論：投信残高注文画面が直接担う</t>
    </r>
    <r>
      <rPr>
        <b val="true"/>
        <sz val="10"/>
        <rFont val="MS Pゴシック"/>
        <family val="0"/>
        <charset val="1"/>
      </rPr>
      <t xml:space="preserve">4</t>
    </r>
    <r>
      <rPr>
        <b val="true"/>
        <sz val="10"/>
        <rFont val="Noto Sans CJK SC"/>
        <family val="2"/>
      </rPr>
      <t xml:space="preserve">項目はすべてテストケースでカバー済み。本部検印／営業店検印、口座開設バッチ自体のロジックは別画面のため本題材の範囲外とし、他機能への展開時に同様のトレーサビリティ確認を行う対象として明記した。</t>
    </r>
  </si>
  <si>
    <r>
      <rPr>
        <b val="true"/>
        <sz val="16"/>
        <rFont val="MS Pゴシック"/>
        <family val="0"/>
        <charset val="1"/>
      </rPr>
      <t xml:space="preserve">②-2 </t>
    </r>
    <r>
      <rPr>
        <b val="true"/>
        <sz val="16"/>
        <rFont val="Noto Sans CJK SC"/>
        <family val="2"/>
      </rPr>
      <t xml:space="preserve">十分性の検証方法　―　</t>
    </r>
    <r>
      <rPr>
        <b val="true"/>
        <sz val="16"/>
        <rFont val="MS Pゴシック"/>
        <family val="0"/>
        <charset val="1"/>
      </rPr>
      <t xml:space="preserve">3</t>
    </r>
    <r>
      <rPr>
        <b val="true"/>
        <sz val="16"/>
        <rFont val="Noto Sans CJK SC"/>
        <family val="2"/>
      </rPr>
      <t xml:space="preserve">段階検出プロセスの比較</t>
    </r>
  </si>
  <si>
    <r>
      <rPr>
        <sz val="10"/>
        <rFont val="Noto Sans CJK SC"/>
        <family val="2"/>
      </rPr>
      <t xml:space="preserve">カバレッジ数値だけでは「設計書に記載されていない観点を検出できたか」は測れない。そこで投信残高注文画面を題材に、</t>
    </r>
    <r>
      <rPr>
        <sz val="10"/>
        <rFont val="MS Pゴシック"/>
        <family val="0"/>
        <charset val="1"/>
      </rPr>
      <t xml:space="preserve">AI</t>
    </r>
    <r>
      <rPr>
        <sz val="10"/>
        <rFont val="Noto Sans CJK SC"/>
        <family val="2"/>
      </rPr>
      <t xml:space="preserve">生成→人的レビュー→設計書精読 の</t>
    </r>
    <r>
      <rPr>
        <sz val="10"/>
        <rFont val="MS Pゴシック"/>
        <family val="0"/>
        <charset val="1"/>
      </rPr>
      <t xml:space="preserve">3</t>
    </r>
    <r>
      <rPr>
        <sz val="10"/>
        <rFont val="Noto Sans CJK SC"/>
        <family val="2"/>
      </rPr>
      <t xml:space="preserve">段階それぞれで何を検出でき、何を検出できなかったかを具体的に突合した。</t>
    </r>
  </si>
  <si>
    <t xml:space="preserve">段階</t>
  </si>
  <si>
    <t xml:space="preserve">実施者／手法</t>
  </si>
  <si>
    <t xml:space="preserve">検出できた観点</t>
  </si>
  <si>
    <t xml:space="preserve">検出できなかった観点</t>
  </si>
  <si>
    <t xml:space="preserve">結果</t>
  </si>
  <si>
    <r>
      <rPr>
        <sz val="10"/>
        <rFont val="MS Pゴシック"/>
        <family val="0"/>
        <charset val="1"/>
      </rPr>
      <t xml:space="preserve">①AI</t>
    </r>
    <r>
      <rPr>
        <sz val="10"/>
        <rFont val="Noto Sans CJK SC"/>
        <family val="2"/>
      </rPr>
      <t xml:space="preserve">ツールによる自動生成</t>
    </r>
  </si>
  <si>
    <r>
      <rPr>
        <sz val="10"/>
        <rFont val="MS Pゴシック"/>
        <family val="0"/>
        <charset val="1"/>
      </rPr>
      <t xml:space="preserve">DAT Copilot Bridge</t>
    </r>
    <r>
      <rPr>
        <sz val="10"/>
        <rFont val="Noto Sans CJK SC"/>
        <family val="2"/>
      </rPr>
      <t xml:space="preserve">（設計書との比較に基づくカバレッジエンジン）</t>
    </r>
  </si>
  <si>
    <r>
      <rPr>
        <sz val="10"/>
        <rFont val="Noto Sans CJK SC"/>
        <family val="2"/>
      </rPr>
      <t xml:space="preserve">・会社条件</t>
    </r>
    <r>
      <rPr>
        <sz val="10"/>
        <rFont val="MS Pゴシック"/>
        <family val="0"/>
        <charset val="1"/>
      </rPr>
      <t xml:space="preserve">371/393</t>
    </r>
    <r>
      <rPr>
        <sz val="10"/>
        <rFont val="Noto Sans CJK SC"/>
        <family val="2"/>
      </rPr>
      <t xml:space="preserve">の組合せパターン
・標準的な入力検証エラー（エラーコード</t>
    </r>
    <r>
      <rPr>
        <sz val="10"/>
        <rFont val="MS Pゴシック"/>
        <family val="0"/>
        <charset val="1"/>
      </rPr>
      <t xml:space="preserve">14840/14850/13220/13170</t>
    </r>
    <r>
      <rPr>
        <sz val="10"/>
        <rFont val="Noto Sans CJK SC"/>
        <family val="2"/>
      </rPr>
      <t xml:space="preserve">）</t>
    </r>
  </si>
  <si>
    <r>
      <rPr>
        <sz val="10"/>
        <rFont val="Noto Sans CJK SC"/>
        <family val="2"/>
      </rPr>
      <t xml:space="preserve">・</t>
    </r>
    <r>
      <rPr>
        <sz val="10"/>
        <rFont val="MS Pゴシック"/>
        <family val="0"/>
        <charset val="1"/>
      </rPr>
      <t xml:space="preserve">TF</t>
    </r>
    <r>
      <rPr>
        <sz val="10"/>
        <rFont val="Noto Sans CJK SC"/>
        <family val="2"/>
      </rPr>
      <t xml:space="preserve">伝票管理テーブルの新規カラム「バッチ取消フラグ」の存在自体
・「ホスト送信状況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失効表示」という</t>
    </r>
    <r>
      <rPr>
        <sz val="10"/>
        <rFont val="MS Pゴシック"/>
        <family val="0"/>
        <charset val="1"/>
      </rPr>
      <t xml:space="preserve">AND</t>
    </r>
    <r>
      <rPr>
        <sz val="10"/>
        <rFont val="Noto Sans CJK SC"/>
        <family val="2"/>
      </rPr>
      <t xml:space="preserve">条件ロジック
・申込受付確認画面の取消ボタン表示制御条件</t>
    </r>
  </si>
  <si>
    <r>
      <rPr>
        <sz val="10"/>
        <rFont val="Noto Sans CJK SC"/>
        <family val="2"/>
      </rPr>
      <t xml:space="preserve">△ 主要機能はカバーしたが新規仕様変更（案件</t>
    </r>
    <r>
      <rPr>
        <sz val="10"/>
        <rFont val="MS Pゴシック"/>
        <family val="0"/>
        <charset val="1"/>
      </rPr>
      <t xml:space="preserve">1158</t>
    </r>
    <r>
      <rPr>
        <sz val="10"/>
        <rFont val="Noto Sans CJK SC"/>
        <family val="2"/>
      </rPr>
      <t xml:space="preserve">固有ロジック）は未検出</t>
    </r>
  </si>
  <si>
    <r>
      <rPr>
        <sz val="10"/>
        <rFont val="MS Pゴシック"/>
        <family val="0"/>
        <charset val="1"/>
      </rPr>
      <t xml:space="preserve">②DAT</t>
    </r>
    <r>
      <rPr>
        <sz val="10"/>
        <rFont val="Noto Sans CJK SC"/>
        <family val="2"/>
      </rPr>
      <t xml:space="preserve">による人的レビュー</t>
    </r>
  </si>
  <si>
    <r>
      <rPr>
        <sz val="10"/>
        <rFont val="MS Pゴシック"/>
        <family val="0"/>
        <charset val="1"/>
      </rPr>
      <t xml:space="preserve">AI</t>
    </r>
    <r>
      <rPr>
        <sz val="10"/>
        <rFont val="Noto Sans CJK SC"/>
        <family val="2"/>
      </rPr>
      <t xml:space="preserve">生成版テストケースを担当者がレビューし、期待結果・前提条件を修正</t>
    </r>
  </si>
  <si>
    <r>
      <rPr>
        <sz val="10"/>
        <rFont val="Noto Sans CJK SC"/>
        <family val="2"/>
      </rPr>
      <t xml:space="preserve">・関連画面（定時定額条件登録）での期待結果の誤り（エラー判定漏れ）
・会社条件</t>
    </r>
    <r>
      <rPr>
        <sz val="10"/>
        <rFont val="MS Pゴシック"/>
        <family val="0"/>
        <charset val="1"/>
      </rPr>
      <t xml:space="preserve">[318]</t>
    </r>
    <r>
      <rPr>
        <sz val="10"/>
        <rFont val="Noto Sans CJK SC"/>
        <family val="2"/>
      </rPr>
      <t xml:space="preserve">簡易開設利用可否の欠落</t>
    </r>
  </si>
  <si>
    <t xml:space="preserve">・投信残高注文画面のバッチ取消フラグロジックは、この段階でもレビュー対象に含まれておらず未検出</t>
  </si>
  <si>
    <t xml:space="preserve">△ 既存ロジックの精度は向上したが、新規ロジックの見落としは継続</t>
  </si>
  <si>
    <t xml:space="preserve">③設計書精読（今回実施）</t>
  </si>
  <si>
    <r>
      <rPr>
        <sz val="10"/>
        <rFont val="Noto Sans CJK SC"/>
        <family val="2"/>
      </rPr>
      <t xml:space="preserve">機能設計書（画面項目</t>
    </r>
    <r>
      <rPr>
        <sz val="10"/>
        <rFont val="MS Pゴシック"/>
        <family val="0"/>
        <charset val="1"/>
      </rPr>
      <t xml:space="preserve">13</t>
    </r>
    <r>
      <rPr>
        <sz val="10"/>
        <rFont val="Noto Sans CJK SC"/>
        <family val="2"/>
      </rPr>
      <t xml:space="preserve">／</t>
    </r>
    <r>
      <rPr>
        <sz val="10"/>
        <rFont val="MS Pゴシック"/>
        <family val="0"/>
        <charset val="1"/>
      </rPr>
      <t xml:space="preserve">14-2</t>
    </r>
    <r>
      <rPr>
        <sz val="10"/>
        <rFont val="Noto Sans CJK SC"/>
        <family val="2"/>
      </rPr>
      <t xml:space="preserve">／</t>
    </r>
    <r>
      <rPr>
        <sz val="10"/>
        <rFont val="MS Pゴシック"/>
        <family val="0"/>
        <charset val="1"/>
      </rPr>
      <t xml:space="preserve">21-2</t>
    </r>
    <r>
      <rPr>
        <sz val="10"/>
        <rFont val="Noto Sans CJK SC"/>
        <family val="2"/>
      </rPr>
      <t xml:space="preserve">）・</t>
    </r>
    <r>
      <rPr>
        <sz val="10"/>
        <rFont val="MS Pゴシック"/>
        <family val="0"/>
        <charset val="1"/>
      </rPr>
      <t xml:space="preserve">DB</t>
    </r>
    <r>
      <rPr>
        <sz val="10"/>
        <rFont val="Noto Sans CJK SC"/>
        <family val="2"/>
      </rPr>
      <t xml:space="preserve">リレーション・変更履歴を</t>
    </r>
    <r>
      <rPr>
        <sz val="10"/>
        <rFont val="MS Pゴシック"/>
        <family val="0"/>
        <charset val="1"/>
      </rPr>
      <t xml:space="preserve">1</t>
    </r>
    <r>
      <rPr>
        <sz val="10"/>
        <rFont val="Noto Sans CJK SC"/>
        <family val="2"/>
      </rPr>
      <t xml:space="preserve">行単位で読解し、要件定義書とも突合</t>
    </r>
  </si>
  <si>
    <r>
      <rPr>
        <sz val="10"/>
        <rFont val="Noto Sans CJK SC"/>
        <family val="2"/>
      </rPr>
      <t xml:space="preserve">・「バッチ取消フラグ」カラムと</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「失効」表示ロジックを検出
・取消ボタンの表示制御条件（機能設計書</t>
    </r>
    <r>
      <rPr>
        <sz val="10"/>
        <rFont val="MS Pゴシック"/>
        <family val="0"/>
        <charset val="1"/>
      </rPr>
      <t xml:space="preserve">13</t>
    </r>
    <r>
      <rPr>
        <sz val="10"/>
        <rFont val="Noto Sans CJK SC"/>
        <family val="2"/>
      </rPr>
      <t xml:space="preserve">）を検出
・先日付</t>
    </r>
    <r>
      <rPr>
        <sz val="10"/>
        <rFont val="MS Pゴシック"/>
        <family val="0"/>
        <charset val="1"/>
      </rPr>
      <t xml:space="preserve">NISA</t>
    </r>
    <r>
      <rPr>
        <sz val="10"/>
        <rFont val="Noto Sans CJK SC"/>
        <family val="2"/>
      </rPr>
      <t xml:space="preserve">注文（会社条件</t>
    </r>
    <r>
      <rPr>
        <sz val="10"/>
        <rFont val="MS Pゴシック"/>
        <family val="0"/>
        <charset val="1"/>
      </rPr>
      <t xml:space="preserve">393</t>
    </r>
    <r>
      <rPr>
        <sz val="10"/>
        <rFont val="Noto Sans CJK SC"/>
        <family val="2"/>
      </rPr>
      <t xml:space="preserve">）が本ロジックの前提条件であることを特定し、テストデータに反映
・境界値</t>
    </r>
    <r>
      <rPr>
        <sz val="10"/>
        <rFont val="MS Pゴシック"/>
        <family val="0"/>
        <charset val="1"/>
      </rPr>
      <t xml:space="preserve">2</t>
    </r>
    <r>
      <rPr>
        <sz val="10"/>
        <rFont val="Noto Sans CJK SC"/>
        <family val="2"/>
      </rPr>
      <t xml:space="preserve">パターン（フラグのみ／ホスト送信状況のみ）を含む</t>
    </r>
    <r>
      <rPr>
        <sz val="10"/>
        <rFont val="MS Pゴシック"/>
        <family val="0"/>
        <charset val="1"/>
      </rPr>
      <t xml:space="preserve">8</t>
    </r>
    <r>
      <rPr>
        <sz val="10"/>
        <rFont val="Noto Sans CJK SC"/>
        <family val="2"/>
      </rPr>
      <t xml:space="preserve">パターンを体系的にテストケース化</t>
    </r>
  </si>
  <si>
    <r>
      <rPr>
        <sz val="10"/>
        <rFont val="Noto Sans CJK SC"/>
        <family val="2"/>
      </rPr>
      <t xml:space="preserve">特になし（要件定義書トレーサビリティで確認済み、②</t>
    </r>
    <r>
      <rPr>
        <sz val="10"/>
        <rFont val="MS Pゴシック"/>
        <family val="0"/>
        <charset val="1"/>
      </rPr>
      <t xml:space="preserve">-1</t>
    </r>
    <r>
      <rPr>
        <sz val="10"/>
        <rFont val="Noto Sans CJK SC"/>
        <family val="2"/>
      </rPr>
      <t xml:space="preserve">参照）</t>
    </r>
  </si>
  <si>
    <t xml:space="preserve">○ 新規ロジックをすべて検出・カバー</t>
  </si>
  <si>
    <t xml:space="preserve">①→②→③の検出観点数の推移</t>
  </si>
  <si>
    <t xml:space="preserve">累積で検出済みの観点数（概算）</t>
  </si>
  <si>
    <t xml:space="preserve">新規に追加検出した観点数</t>
  </si>
  <si>
    <r>
      <rPr>
        <sz val="10"/>
        <rFont val="MS Pゴシック"/>
        <family val="0"/>
        <charset val="1"/>
      </rPr>
      <t xml:space="preserve">①AI</t>
    </r>
    <r>
      <rPr>
        <sz val="10"/>
        <rFont val="Noto Sans CJK SC"/>
        <family val="2"/>
      </rPr>
      <t xml:space="preserve">生成</t>
    </r>
  </si>
  <si>
    <t xml:space="preserve">②人的レビュー後</t>
  </si>
  <si>
    <r>
      <rPr>
        <sz val="10"/>
        <rFont val="Noto Sans CJK SC"/>
        <family val="2"/>
      </rPr>
      <t xml:space="preserve">本画面に関しては追加検出なし（他画面では</t>
    </r>
    <r>
      <rPr>
        <sz val="10"/>
        <rFont val="MS Pゴシック"/>
        <family val="0"/>
        <charset val="1"/>
      </rPr>
      <t xml:space="preserve">2</t>
    </r>
    <r>
      <rPr>
        <sz val="10"/>
        <rFont val="Noto Sans CJK SC"/>
        <family val="2"/>
      </rPr>
      <t xml:space="preserve">件検出）</t>
    </r>
  </si>
  <si>
    <t xml:space="preserve">③設計書精読後</t>
  </si>
  <si>
    <r>
      <rPr>
        <b val="true"/>
        <sz val="10"/>
        <rFont val="Noto Sans CJK SC"/>
        <family val="2"/>
      </rPr>
      <t xml:space="preserve">結論：</t>
    </r>
    <r>
      <rPr>
        <b val="true"/>
        <sz val="10"/>
        <rFont val="MS Pゴシック"/>
        <family val="0"/>
        <charset val="1"/>
      </rPr>
      <t xml:space="preserve">AI</t>
    </r>
    <r>
      <rPr>
        <b val="true"/>
        <sz val="10"/>
        <rFont val="Noto Sans CJK SC"/>
        <family val="2"/>
      </rPr>
      <t xml:space="preserve">生成・人的レビューという</t>
    </r>
    <r>
      <rPr>
        <b val="true"/>
        <sz val="10"/>
        <rFont val="MS Pゴシック"/>
        <family val="0"/>
        <charset val="1"/>
      </rPr>
      <t xml:space="preserve">2</t>
    </r>
    <r>
      <rPr>
        <b val="true"/>
        <sz val="10"/>
        <rFont val="Noto Sans CJK SC"/>
        <family val="2"/>
      </rPr>
      <t xml:space="preserve">段階だけでは、案件固有の新規ロジック（バッチ取消フラグ）を検出できなかった。設計書の要件定義書レベルでの精読・突合を追加の第</t>
    </r>
    <r>
      <rPr>
        <b val="true"/>
        <sz val="10"/>
        <rFont val="MS Pゴシック"/>
        <family val="0"/>
        <charset val="1"/>
      </rPr>
      <t xml:space="preserve">3</t>
    </r>
    <r>
      <rPr>
        <b val="true"/>
        <sz val="10"/>
        <rFont val="Noto Sans CJK SC"/>
        <family val="2"/>
      </rPr>
      <t xml:space="preserve">段階として組み込むことで、初めてカバレッジ数値に現れない観点まで含めた十分性を担保できることを、本画面を題材に実証した。</t>
    </r>
  </si>
  <si>
    <t xml:space="preserve">③実施内容　―　投信残高注文画面 詳細タイムライン</t>
  </si>
  <si>
    <t xml:space="preserve">実施日</t>
  </si>
  <si>
    <t xml:space="preserve">工程</t>
  </si>
  <si>
    <t xml:space="preserve">実施内容</t>
  </si>
  <si>
    <t xml:space="preserve">使用資料／ツール</t>
  </si>
  <si>
    <t xml:space="preserve">実施結果</t>
  </si>
  <si>
    <t xml:space="preserve">検出・成果物</t>
  </si>
  <si>
    <t xml:space="preserve">2026/07/22</t>
  </si>
  <si>
    <t xml:space="preserve">①テストケース自動生成</t>
  </si>
  <si>
    <r>
      <rPr>
        <sz val="10"/>
        <rFont val="Noto Sans CJK SC"/>
        <family val="2"/>
      </rPr>
      <t xml:space="preserve">定時定額条件登録画面について</t>
    </r>
    <r>
      <rPr>
        <sz val="10"/>
        <rFont val="MS Pゴシック"/>
        <family val="0"/>
        <charset val="1"/>
      </rPr>
      <t xml:space="preserve">AI</t>
    </r>
    <r>
      <rPr>
        <sz val="10"/>
        <rFont val="Noto Sans CJK SC"/>
        <family val="2"/>
      </rPr>
      <t xml:space="preserve">ツールがテストケースを自動生成（関連画面として並行実施）</t>
    </r>
  </si>
  <si>
    <t xml:space="preserve">DAT Copilot Bridge</t>
  </si>
  <si>
    <t xml:space="preserve">完了</t>
  </si>
  <si>
    <r>
      <rPr>
        <sz val="10"/>
        <rFont val="MS Pゴシック"/>
        <family val="0"/>
        <charset val="1"/>
      </rPr>
      <t xml:space="preserve">16</t>
    </r>
    <r>
      <rPr>
        <sz val="10"/>
        <rFont val="Noto Sans CJK SC"/>
        <family val="2"/>
      </rPr>
      <t xml:space="preserve">件（</t>
    </r>
    <r>
      <rPr>
        <sz val="10"/>
        <rFont val="MS Pゴシック"/>
        <family val="0"/>
        <charset val="1"/>
      </rPr>
      <t xml:space="preserve">A-1</t>
    </r>
    <r>
      <rPr>
        <sz val="10"/>
        <rFont val="Noto Sans CJK SC"/>
        <family val="2"/>
      </rPr>
      <t xml:space="preserve">〜</t>
    </r>
    <r>
      <rPr>
        <sz val="10"/>
        <rFont val="MS Pゴシック"/>
        <family val="0"/>
        <charset val="1"/>
      </rPr>
      <t xml:space="preserve">E-1</t>
    </r>
    <r>
      <rPr>
        <sz val="10"/>
        <rFont val="Noto Sans CJK SC"/>
        <family val="2"/>
      </rPr>
      <t xml:space="preserve">）生成</t>
    </r>
  </si>
  <si>
    <t xml:space="preserve">②人的レビュー</t>
  </si>
  <si>
    <r>
      <rPr>
        <sz val="10"/>
        <rFont val="MS Pゴシック"/>
        <family val="0"/>
        <charset val="1"/>
      </rPr>
      <t xml:space="preserve">AI</t>
    </r>
    <r>
      <rPr>
        <sz val="10"/>
        <rFont val="Noto Sans CJK SC"/>
        <family val="2"/>
      </rPr>
      <t xml:space="preserve">生成版テストケースを</t>
    </r>
    <r>
      <rPr>
        <sz val="10"/>
        <rFont val="MS Pゴシック"/>
        <family val="0"/>
        <charset val="1"/>
      </rPr>
      <t xml:space="preserve">DAT</t>
    </r>
    <r>
      <rPr>
        <sz val="10"/>
        <rFont val="Noto Sans CJK SC"/>
        <family val="2"/>
      </rPr>
      <t xml:space="preserve">担当者がレビューし期待結果・前提条件を修正</t>
    </r>
  </si>
  <si>
    <r>
      <rPr>
        <sz val="10"/>
        <rFont val="Noto Sans CJK SC"/>
        <family val="2"/>
      </rPr>
      <t xml:space="preserve">【</t>
    </r>
    <r>
      <rPr>
        <sz val="10"/>
        <rFont val="MS Pゴシック"/>
        <family val="0"/>
        <charset val="1"/>
      </rPr>
      <t xml:space="preserve">SFM-06-001</t>
    </r>
    <r>
      <rPr>
        <sz val="10"/>
        <rFont val="Noto Sans CJK SC"/>
        <family val="2"/>
      </rPr>
      <t xml:space="preserve">】結合テスト計画兼結果報告書</t>
    </r>
  </si>
  <si>
    <r>
      <rPr>
        <sz val="10"/>
        <rFont val="Noto Sans CJK SC"/>
        <family val="2"/>
      </rPr>
      <t xml:space="preserve">会社条件</t>
    </r>
    <r>
      <rPr>
        <sz val="10"/>
        <rFont val="MS Pゴシック"/>
        <family val="0"/>
        <charset val="1"/>
      </rPr>
      <t xml:space="preserve">[318]</t>
    </r>
    <r>
      <rPr>
        <sz val="10"/>
        <rFont val="Noto Sans CJK SC"/>
        <family val="2"/>
      </rPr>
      <t xml:space="preserve">の欠落、期待結果誤り</t>
    </r>
    <r>
      <rPr>
        <sz val="10"/>
        <rFont val="MS Pゴシック"/>
        <family val="0"/>
        <charset val="1"/>
      </rPr>
      <t xml:space="preserve">2</t>
    </r>
    <r>
      <rPr>
        <sz val="10"/>
        <rFont val="Noto Sans CJK SC"/>
        <family val="2"/>
      </rPr>
      <t xml:space="preserve">件を検出・修正</t>
    </r>
  </si>
  <si>
    <t xml:space="preserve">2026/07/23</t>
  </si>
  <si>
    <t xml:space="preserve">③設計書精読（画面一覧確認）</t>
  </si>
  <si>
    <r>
      <rPr>
        <sz val="10"/>
        <rFont val="Noto Sans CJK SC"/>
        <family val="2"/>
      </rPr>
      <t xml:space="preserve">要件定義書「</t>
    </r>
    <r>
      <rPr>
        <sz val="10"/>
        <rFont val="MS Pゴシック"/>
        <family val="0"/>
        <charset val="1"/>
      </rPr>
      <t xml:space="preserve">11.2.</t>
    </r>
    <r>
      <rPr>
        <sz val="10"/>
        <rFont val="Noto Sans CJK SC"/>
        <family val="2"/>
      </rPr>
      <t xml:space="preserve">画面一覧」を確認し、案件</t>
    </r>
    <r>
      <rPr>
        <sz val="10"/>
        <rFont val="MS Pゴシック"/>
        <family val="0"/>
        <charset val="1"/>
      </rPr>
      <t xml:space="preserve">1158</t>
    </r>
    <r>
      <rPr>
        <sz val="10"/>
        <rFont val="Noto Sans CJK SC"/>
        <family val="2"/>
      </rPr>
      <t xml:space="preserve">で変更対象となる画面（進捗状況一覧・投信残高注文・本部検印</t>
    </r>
    <r>
      <rPr>
        <sz val="10"/>
        <rFont val="MS Pゴシック"/>
        <family val="0"/>
        <charset val="1"/>
      </rPr>
      <t xml:space="preserve">/</t>
    </r>
    <r>
      <rPr>
        <sz val="10"/>
        <rFont val="Noto Sans CJK SC"/>
        <family val="2"/>
      </rPr>
      <t xml:space="preserve">営業店検印・申込状況一覧）を特定</t>
    </r>
  </si>
  <si>
    <r>
      <rPr>
        <sz val="10"/>
        <rFont val="Noto Sans CJK SC"/>
        <family val="2"/>
      </rPr>
      <t xml:space="preserve">要件定義書</t>
    </r>
    <r>
      <rPr>
        <sz val="10"/>
        <rFont val="MS Pゴシック"/>
        <family val="0"/>
        <charset val="1"/>
      </rPr>
      <t xml:space="preserve">_v4.00.docx</t>
    </r>
  </si>
  <si>
    <t xml:space="preserve">投信残高注文が対象画面であることを特定</t>
  </si>
  <si>
    <t xml:space="preserve">③設計書精読（ロジック抽出）</t>
  </si>
  <si>
    <r>
      <rPr>
        <sz val="10"/>
        <rFont val="Noto Sans CJK SC"/>
        <family val="2"/>
      </rPr>
      <t xml:space="preserve">機能設計書（画面項目</t>
    </r>
    <r>
      <rPr>
        <sz val="10"/>
        <rFont val="MS Pゴシック"/>
        <family val="0"/>
        <charset val="1"/>
      </rPr>
      <t xml:space="preserve">14-2</t>
    </r>
    <r>
      <rPr>
        <sz val="10"/>
        <rFont val="Noto Sans CJK SC"/>
        <family val="2"/>
      </rPr>
      <t xml:space="preserve">／</t>
    </r>
    <r>
      <rPr>
        <sz val="10"/>
        <rFont val="MS Pゴシック"/>
        <family val="0"/>
        <charset val="1"/>
      </rPr>
      <t xml:space="preserve">21-2</t>
    </r>
    <r>
      <rPr>
        <sz val="10"/>
        <rFont val="Noto Sans CJK SC"/>
        <family val="2"/>
      </rPr>
      <t xml:space="preserve">、</t>
    </r>
    <r>
      <rPr>
        <sz val="10"/>
        <rFont val="MS Pゴシック"/>
        <family val="0"/>
        <charset val="1"/>
      </rPr>
      <t xml:space="preserve">DB</t>
    </r>
    <r>
      <rPr>
        <sz val="10"/>
        <rFont val="Noto Sans CJK SC"/>
        <family val="2"/>
      </rPr>
      <t xml:space="preserve">リレーション）を</t>
    </r>
    <r>
      <rPr>
        <sz val="10"/>
        <rFont val="MS Pゴシック"/>
        <family val="0"/>
        <charset val="1"/>
      </rPr>
      <t xml:space="preserve">1</t>
    </r>
    <r>
      <rPr>
        <sz val="10"/>
        <rFont val="Noto Sans CJK SC"/>
        <family val="2"/>
      </rPr>
      <t xml:space="preserve">行単位で読解し、バッチ取消フラグ</t>
    </r>
    <r>
      <rPr>
        <sz val="10"/>
        <rFont val="MS Pゴシック"/>
        <family val="0"/>
        <charset val="1"/>
      </rPr>
      <t xml:space="preserve">×</t>
    </r>
    <r>
      <rPr>
        <sz val="10"/>
        <rFont val="Noto Sans CJK SC"/>
        <family val="2"/>
      </rPr>
      <t xml:space="preserve">ホスト送信状況の判定ロジックを抽出</t>
    </r>
  </si>
  <si>
    <r>
      <rPr>
        <sz val="10"/>
        <rFont val="MS Pゴシック"/>
        <family val="0"/>
        <charset val="1"/>
      </rPr>
      <t xml:space="preserve">F03</t>
    </r>
    <r>
      <rPr>
        <sz val="10"/>
        <rFont val="Noto Sans CJK SC"/>
        <family val="2"/>
      </rPr>
      <t xml:space="preserve">投信伝票確認</t>
    </r>
    <r>
      <rPr>
        <sz val="10"/>
        <rFont val="MS Pゴシック"/>
        <family val="0"/>
        <charset val="1"/>
      </rPr>
      <t xml:space="preserve">_030_</t>
    </r>
    <r>
      <rPr>
        <sz val="10"/>
        <rFont val="Noto Sans CJK SC"/>
        <family val="2"/>
      </rPr>
      <t xml:space="preserve">機能設計書</t>
    </r>
    <r>
      <rPr>
        <sz val="10"/>
        <rFont val="MS Pゴシック"/>
        <family val="0"/>
        <charset val="1"/>
      </rPr>
      <t xml:space="preserve">.xls</t>
    </r>
  </si>
  <si>
    <r>
      <rPr>
        <sz val="10"/>
        <rFont val="Noto Sans CJK SC"/>
        <family val="2"/>
      </rPr>
      <t xml:space="preserve">「失効」表示ロジック（</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）を検出</t>
    </r>
  </si>
  <si>
    <t xml:space="preserve">③設計書精読（取消ボタン制御の抽出）</t>
  </si>
  <si>
    <r>
      <rPr>
        <sz val="10"/>
        <rFont val="Noto Sans CJK SC"/>
        <family val="2"/>
      </rPr>
      <t xml:space="preserve">機能設計書の画面項目</t>
    </r>
    <r>
      <rPr>
        <sz val="10"/>
        <rFont val="MS Pゴシック"/>
        <family val="0"/>
        <charset val="1"/>
      </rPr>
      <t xml:space="preserve">13</t>
    </r>
    <r>
      <rPr>
        <sz val="10"/>
        <rFont val="Noto Sans CJK SC"/>
        <family val="2"/>
      </rPr>
      <t xml:space="preserve">（取消ボタン）を確認し、ホスト送信状況による表示制御条件を抽出</t>
    </r>
  </si>
  <si>
    <t xml:space="preserve">同上</t>
  </si>
  <si>
    <r>
      <rPr>
        <sz val="10"/>
        <rFont val="Noto Sans CJK SC"/>
        <family val="2"/>
      </rPr>
      <t xml:space="preserve">取消ボタン非表示条件（</t>
    </r>
    <r>
      <rPr>
        <sz val="10"/>
        <rFont val="MS Pゴシック"/>
        <family val="0"/>
        <charset val="1"/>
      </rPr>
      <t xml:space="preserve">1/2/9</t>
    </r>
    <r>
      <rPr>
        <sz val="10"/>
        <rFont val="Noto Sans CJK SC"/>
        <family val="2"/>
      </rPr>
      <t xml:space="preserve">）を検出</t>
    </r>
  </si>
  <si>
    <t xml:space="preserve">④前提条件の是正</t>
  </si>
  <si>
    <r>
      <rPr>
        <sz val="10"/>
        <rFont val="Noto Sans CJK SC"/>
        <family val="2"/>
      </rPr>
      <t xml:space="preserve">先日付</t>
    </r>
    <r>
      <rPr>
        <sz val="10"/>
        <rFont val="MS Pゴシック"/>
        <family val="0"/>
        <charset val="1"/>
      </rPr>
      <t xml:space="preserve">NISA</t>
    </r>
    <r>
      <rPr>
        <sz val="10"/>
        <rFont val="Noto Sans CJK SC"/>
        <family val="2"/>
      </rPr>
      <t xml:space="preserve">注文（会社条件</t>
    </r>
    <r>
      <rPr>
        <sz val="10"/>
        <rFont val="MS Pゴシック"/>
        <family val="0"/>
        <charset val="1"/>
      </rPr>
      <t xml:space="preserve">393</t>
    </r>
    <r>
      <rPr>
        <sz val="10"/>
        <rFont val="Noto Sans CJK SC"/>
        <family val="2"/>
      </rPr>
      <t xml:space="preserve">）が本ロジックの前提であることを特定し、テストデータのシステム日付・申込日付・会社条件を是正</t>
    </r>
  </si>
  <si>
    <t xml:space="preserve">本会話でのレビュー指摘</t>
  </si>
  <si>
    <r>
      <rPr>
        <sz val="10"/>
        <rFont val="Noto Sans CJK SC"/>
        <family val="2"/>
      </rPr>
      <t xml:space="preserve">全</t>
    </r>
    <r>
      <rPr>
        <sz val="10"/>
        <rFont val="MS Pゴシック"/>
        <family val="0"/>
        <charset val="1"/>
      </rPr>
      <t xml:space="preserve">16</t>
    </r>
    <r>
      <rPr>
        <sz val="10"/>
        <rFont val="Noto Sans CJK SC"/>
        <family val="2"/>
      </rPr>
      <t xml:space="preserve">件にシステム日付／申込日付（先日付）／会社条件</t>
    </r>
    <r>
      <rPr>
        <sz val="10"/>
        <rFont val="MS Pゴシック"/>
        <family val="0"/>
        <charset val="1"/>
      </rPr>
      <t xml:space="preserve">393</t>
    </r>
    <r>
      <rPr>
        <sz val="10"/>
        <rFont val="Noto Sans CJK SC"/>
        <family val="2"/>
      </rPr>
      <t xml:space="preserve">を追加</t>
    </r>
  </si>
  <si>
    <t xml:space="preserve">⑤テストケース作成</t>
  </si>
  <si>
    <r>
      <rPr>
        <sz val="10"/>
        <rFont val="Noto Sans CJK SC"/>
        <family val="2"/>
      </rPr>
      <t xml:space="preserve">検出した観点をもとに、境界値を含む</t>
    </r>
    <r>
      <rPr>
        <sz val="10"/>
        <rFont val="MS Pゴシック"/>
        <family val="0"/>
        <charset val="1"/>
      </rPr>
      <t xml:space="preserve">8</t>
    </r>
    <r>
      <rPr>
        <sz val="10"/>
        <rFont val="Noto Sans CJK SC"/>
        <family val="2"/>
      </rPr>
      <t xml:space="preserve">パターン</t>
    </r>
    <r>
      <rPr>
        <sz val="10"/>
        <rFont val="MS Pゴシック"/>
        <family val="0"/>
        <charset val="1"/>
      </rPr>
      <t xml:space="preserve">×2</t>
    </r>
    <r>
      <rPr>
        <sz val="10"/>
        <rFont val="Noto Sans CJK SC"/>
        <family val="2"/>
      </rPr>
      <t xml:space="preserve">画面（一覧・確認）＝</t>
    </r>
    <r>
      <rPr>
        <sz val="10"/>
        <rFont val="MS Pゴシック"/>
        <family val="0"/>
        <charset val="1"/>
      </rPr>
      <t xml:space="preserve">16</t>
    </r>
    <r>
      <rPr>
        <sz val="10"/>
        <rFont val="Noto Sans CJK SC"/>
        <family val="2"/>
      </rPr>
      <t xml:space="preserve">件のテストケースを作成</t>
    </r>
  </si>
  <si>
    <t xml:space="preserve">toshin_zandaka_test_v7.xlsx</t>
  </si>
  <si>
    <r>
      <rPr>
        <sz val="10"/>
        <rFont val="Noto Sans CJK SC"/>
        <family val="2"/>
      </rPr>
      <t xml:space="preserve">テストケース／判定ロジック決定表／データ準備の</t>
    </r>
    <r>
      <rPr>
        <sz val="10"/>
        <rFont val="MS Pゴシック"/>
        <family val="0"/>
        <charset val="1"/>
      </rPr>
      <t xml:space="preserve">3</t>
    </r>
    <r>
      <rPr>
        <sz val="10"/>
        <rFont val="Noto Sans CJK SC"/>
        <family val="2"/>
      </rPr>
      <t xml:space="preserve">シート構成で作成</t>
    </r>
  </si>
  <si>
    <t xml:space="preserve">⑥テストケース実機実行</t>
  </si>
  <si>
    <t xml:space="preserve">作成済みテストケースをテスト環境で実行し、実施結果・検証結果を記録する</t>
  </si>
  <si>
    <t xml:space="preserve">テスト環境（未定）</t>
  </si>
  <si>
    <t xml:space="preserve">未実施（次工程）</t>
  </si>
  <si>
    <t xml:space="preserve">-</t>
  </si>
  <si>
    <r>
      <rPr>
        <b val="true"/>
        <sz val="16"/>
        <rFont val="MS Pゴシック"/>
        <family val="0"/>
        <charset val="1"/>
      </rPr>
      <t xml:space="preserve">④AI</t>
    </r>
    <r>
      <rPr>
        <b val="true"/>
        <sz val="16"/>
        <rFont val="Noto Sans CJK SC"/>
        <family val="2"/>
      </rPr>
      <t xml:space="preserve">活用による効率化（工数）　―　投信残高注文画面</t>
    </r>
  </si>
  <si>
    <t xml:space="preserve">黄色セル（青字）は実績工数の記入が必要です。数式により削減時間・削減率を自動計算します。</t>
  </si>
  <si>
    <r>
      <rPr>
        <b val="true"/>
        <sz val="10"/>
        <color rgb="FFFFFFFF"/>
        <rFont val="Noto Sans CJK SC"/>
        <family val="2"/>
      </rPr>
      <t xml:space="preserve">従来（手動）想定工数</t>
    </r>
    <r>
      <rPr>
        <b val="true"/>
        <sz val="10"/>
        <color rgb="FFFFFFFF"/>
        <rFont val="MS Pゴシック"/>
        <family val="0"/>
        <charset val="1"/>
      </rPr>
      <t xml:space="preserve">(h)</t>
    </r>
  </si>
  <si>
    <r>
      <rPr>
        <b val="true"/>
        <sz val="10"/>
        <color rgb="FFFFFFFF"/>
        <rFont val="MS Pゴシック"/>
        <family val="0"/>
        <charset val="1"/>
      </rPr>
      <t xml:space="preserve">AI</t>
    </r>
    <r>
      <rPr>
        <b val="true"/>
        <sz val="10"/>
        <color rgb="FFFFFFFF"/>
        <rFont val="Noto Sans CJK SC"/>
        <family val="2"/>
      </rPr>
      <t xml:space="preserve">活用実施工数</t>
    </r>
    <r>
      <rPr>
        <b val="true"/>
        <sz val="10"/>
        <color rgb="FFFFFFFF"/>
        <rFont val="MS Pゴシック"/>
        <family val="0"/>
        <charset val="1"/>
      </rPr>
      <t xml:space="preserve">(h)</t>
    </r>
  </si>
  <si>
    <r>
      <rPr>
        <b val="true"/>
        <sz val="10"/>
        <color rgb="FFFFFFFF"/>
        <rFont val="Noto Sans CJK SC"/>
        <family val="2"/>
      </rPr>
      <t xml:space="preserve">削減時間</t>
    </r>
    <r>
      <rPr>
        <b val="true"/>
        <sz val="10"/>
        <color rgb="FFFFFFFF"/>
        <rFont val="MS Pゴシック"/>
        <family val="0"/>
        <charset val="1"/>
      </rPr>
      <t xml:space="preserve">(h)</t>
    </r>
  </si>
  <si>
    <t xml:space="preserve">削減率</t>
  </si>
  <si>
    <t xml:space="preserve">要件定義書・機能設計書の読解による対象範囲の特定</t>
  </si>
  <si>
    <t xml:space="preserve">★実績工数を記入してください</t>
  </si>
  <si>
    <t xml:space="preserve">バッチ取消フラグ・失効表示ロジックの抽出（設計書精読）</t>
  </si>
  <si>
    <t xml:space="preserve">取消ボタン表示制御ロジックの抽出</t>
  </si>
  <si>
    <r>
      <rPr>
        <sz val="10"/>
        <rFont val="Noto Sans CJK SC"/>
        <family val="2"/>
      </rPr>
      <t xml:space="preserve">テストケース作成（</t>
    </r>
    <r>
      <rPr>
        <sz val="10"/>
        <rFont val="MS Pゴシック"/>
        <family val="0"/>
        <charset val="1"/>
      </rPr>
      <t xml:space="preserve">16</t>
    </r>
    <r>
      <rPr>
        <sz val="10"/>
        <rFont val="Noto Sans CJK SC"/>
        <family val="2"/>
      </rPr>
      <t xml:space="preserve">件、境界値含む）</t>
    </r>
  </si>
  <si>
    <r>
      <rPr>
        <sz val="10"/>
        <rFont val="MS Pゴシック"/>
        <family val="0"/>
        <charset val="1"/>
      </rPr>
      <t xml:space="preserve">★AI</t>
    </r>
    <r>
      <rPr>
        <sz val="10"/>
        <rFont val="Noto Sans CJK SC"/>
        <family val="2"/>
      </rPr>
      <t xml:space="preserve">支援ありでの実績工数を記入してください</t>
    </r>
  </si>
  <si>
    <r>
      <rPr>
        <sz val="10"/>
        <rFont val="Noto Sans CJK SC"/>
        <family val="2"/>
      </rPr>
      <t xml:space="preserve">テストケースレビュー・前提条件是正（先日付・会社条件</t>
    </r>
    <r>
      <rPr>
        <sz val="10"/>
        <rFont val="MS Pゴシック"/>
        <family val="0"/>
        <charset val="1"/>
      </rPr>
      <t xml:space="preserve">393</t>
    </r>
    <r>
      <rPr>
        <sz val="10"/>
        <rFont val="Noto Sans CJK SC"/>
        <family val="2"/>
      </rPr>
      <t xml:space="preserve">）</t>
    </r>
  </si>
  <si>
    <t xml:space="preserve">合計</t>
  </si>
  <si>
    <r>
      <rPr>
        <sz val="10"/>
        <rFont val="Noto Sans CJK SC"/>
        <family val="2"/>
      </rPr>
      <t xml:space="preserve">参考：人手のみで同水準の十分性（</t>
    </r>
    <r>
      <rPr>
        <sz val="10"/>
        <rFont val="MS Pゴシック"/>
        <family val="0"/>
        <charset val="1"/>
      </rPr>
      <t xml:space="preserve">3</t>
    </r>
    <r>
      <rPr>
        <sz val="10"/>
        <rFont val="Noto Sans CJK SC"/>
        <family val="2"/>
      </rPr>
      <t xml:space="preserve">段階検出プロセス相当）を達成しようとした場合、設計書精読を専任担当者が行う必要があり、画面数が多いシステム全体では大幅な工数増が見込まれる。</t>
    </r>
    <r>
      <rPr>
        <sz val="10"/>
        <rFont val="MS Pゴシック"/>
        <family val="0"/>
        <charset val="1"/>
      </rPr>
      <t xml:space="preserve">AI</t>
    </r>
    <r>
      <rPr>
        <sz val="10"/>
        <rFont val="Noto Sans CJK SC"/>
        <family val="2"/>
      </rPr>
      <t xml:space="preserve">ツールによる初期生成を土台としつつ、設計書精読の工程を明示的にテスト工程に組み込むことで、精度と工数のバランスを取ることができる。</t>
    </r>
  </si>
</sst>
</file>

<file path=xl/styles.xml><?xml version="1.0" encoding="utf-8"?>
<styleSheet xmlns="http://schemas.openxmlformats.org/spreadsheetml/2006/main">
  <numFmts count="2">
    <numFmt numFmtId="164" formatCode="General"/>
    <numFmt numFmtId="165" formatCode="0.0%"/>
  </numFmts>
  <fonts count="17">
    <font>
      <sz val="11"/>
      <color theme="1"/>
      <name val="Calibri"/>
      <family val="2"/>
      <charset val="1"/>
    </font>
    <font>
      <sz val="10"/>
      <name val="Arial"/>
      <family val="0"/>
    </font>
    <font>
      <sz val="10"/>
      <name val="Arial"/>
      <family val="0"/>
    </font>
    <font>
      <sz val="10"/>
      <name val="Arial"/>
      <family val="0"/>
    </font>
    <font>
      <b val="true"/>
      <sz val="16"/>
      <name val="MS Pゴシック"/>
      <family val="0"/>
      <charset val="1"/>
    </font>
    <font>
      <b val="true"/>
      <sz val="16"/>
      <name val="Noto Sans CJK SC"/>
      <family val="2"/>
    </font>
    <font>
      <b val="true"/>
      <sz val="12"/>
      <color rgb="FF1F4E78"/>
      <name val="Noto Sans CJK SC"/>
      <family val="2"/>
    </font>
    <font>
      <b val="true"/>
      <sz val="10"/>
      <name val="Noto Sans CJK SC"/>
      <family val="2"/>
    </font>
    <font>
      <sz val="10"/>
      <name val="MS Pゴシック"/>
      <family val="0"/>
      <charset val="1"/>
    </font>
    <font>
      <sz val="10"/>
      <name val="Noto Sans CJK SC"/>
      <family val="2"/>
    </font>
    <font>
      <sz val="11"/>
      <color theme="1"/>
      <name val="Noto Sans CJK SC"/>
      <family val="2"/>
    </font>
    <font>
      <b val="true"/>
      <sz val="10"/>
      <color rgb="FFFFFFFF"/>
      <name val="MS Pゴシック"/>
      <family val="0"/>
      <charset val="1"/>
    </font>
    <font>
      <b val="true"/>
      <sz val="10"/>
      <color rgb="FFFFFFFF"/>
      <name val="Noto Sans CJK SC"/>
      <family val="2"/>
    </font>
    <font>
      <b val="true"/>
      <sz val="10"/>
      <name val="MS Pゴシック"/>
      <family val="0"/>
      <charset val="1"/>
    </font>
    <font>
      <sz val="10"/>
      <color rgb="FF0000FF"/>
      <name val="MS Pゴシック"/>
      <family val="0"/>
      <charset val="1"/>
    </font>
    <font>
      <sz val="10"/>
      <color rgb="FF0000FF"/>
      <name val="Noto Sans CJK SC"/>
      <family val="2"/>
    </font>
    <font>
      <i val="true"/>
      <sz val="9"/>
      <color rgb="FFFF0000"/>
      <name val="Noto Sans CJK SC"/>
      <family val="2"/>
    </font>
  </fonts>
  <fills count="7">
    <fill>
      <patternFill patternType="none"/>
    </fill>
    <fill>
      <patternFill patternType="gray125"/>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1F4E78"/>
        <bgColor rgb="FF003366"/>
      </patternFill>
    </fill>
    <fill>
      <patternFill patternType="solid">
        <fgColor rgb="FFD9E1F2"/>
        <bgColor rgb="FFE2EFDA"/>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left" vertical="top" textRotation="0" wrapText="true" indent="0" shrinkToFit="false"/>
      <protection locked="true" hidden="false"/>
    </xf>
    <xf numFmtId="164" fontId="14" fillId="2"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5" fontId="13"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6"/>
    <col collapsed="false" customWidth="true" hidden="false" outlineLevel="0" max="3" min="3" style="0" width="95"/>
  </cols>
  <sheetData>
    <row r="2" customFormat="false" ht="23.8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5" t="s">
        <v>5</v>
      </c>
    </row>
    <row r="7" customFormat="false" ht="60" hidden="false" customHeight="true" outlineLevel="0" collapsed="false">
      <c r="B7" s="3" t="s">
        <v>6</v>
      </c>
      <c r="C7" s="5" t="s">
        <v>7</v>
      </c>
    </row>
    <row r="8" customFormat="false" ht="60" hidden="false" customHeight="true" outlineLevel="0" collapsed="false">
      <c r="B8" s="3" t="s">
        <v>8</v>
      </c>
      <c r="C8" s="5" t="s">
        <v>9</v>
      </c>
    </row>
    <row r="10" customFormat="false" ht="15" hidden="false" customHeight="false" outlineLevel="0" collapsed="false">
      <c r="B10" s="3" t="s">
        <v>10</v>
      </c>
    </row>
    <row r="11" customFormat="false" ht="15" hidden="false" customHeight="false" outlineLevel="0" collapsed="false">
      <c r="C11" s="6" t="s">
        <v>11</v>
      </c>
    </row>
    <row r="12" customFormat="false" ht="15" hidden="false" customHeight="false" outlineLevel="0" collapsed="false">
      <c r="C12" s="6" t="s">
        <v>12</v>
      </c>
    </row>
    <row r="13" customFormat="false" ht="15" hidden="false" customHeight="false" outlineLevel="0" collapsed="false">
      <c r="C13" s="6" t="s">
        <v>13</v>
      </c>
    </row>
    <row r="14" customFormat="false" ht="15" hidden="false" customHeight="false" outlineLevel="0" collapsed="false">
      <c r="C14" s="6" t="s">
        <v>14</v>
      </c>
    </row>
    <row r="15" customFormat="false" ht="15" hidden="false" customHeight="false" outlineLevel="0" collapsed="false">
      <c r="C15" s="6" t="s">
        <v>15</v>
      </c>
    </row>
    <row r="17" customFormat="false" ht="15" hidden="false" customHeight="false" outlineLevel="0" collapsed="false">
      <c r="B17" s="3" t="s">
        <v>16</v>
      </c>
    </row>
    <row r="18" customFormat="false" ht="15" hidden="false" customHeight="false" outlineLevel="0" collapsed="false">
      <c r="B18" s="7" t="s">
        <v>17</v>
      </c>
      <c r="C18" s="6" t="s">
        <v>18</v>
      </c>
    </row>
    <row r="19" customFormat="false" ht="15" hidden="false" customHeight="false" outlineLevel="0" collapsed="false">
      <c r="B19" s="8" t="s">
        <v>19</v>
      </c>
      <c r="C19" s="9" t="s">
        <v>20</v>
      </c>
    </row>
    <row r="20" customFormat="false" ht="15" hidden="false" customHeight="false" outlineLevel="0" collapsed="false">
      <c r="B20" s="10" t="s">
        <v>21</v>
      </c>
      <c r="C20" s="6"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12"/>
    <col collapsed="false" customWidth="true" hidden="false" outlineLevel="0" max="5" min="5" style="0" width="30"/>
    <col collapsed="false" customWidth="true" hidden="false" outlineLevel="0" max="7" min="6" style="0" width="14"/>
    <col collapsed="false" customWidth="true" hidden="false" outlineLevel="0" max="8" min="8" style="0" width="22"/>
    <col collapsed="false" customWidth="true" hidden="false" outlineLevel="0" max="9" min="9" style="0" width="40"/>
    <col collapsed="false" customWidth="true" hidden="false" outlineLevel="0" max="10" min="10" style="0" width="44"/>
  </cols>
  <sheetData>
    <row r="2" customFormat="false" ht="23.85" hidden="false" customHeight="false" outlineLevel="0" collapsed="false">
      <c r="B2" s="11" t="s">
        <v>23</v>
      </c>
    </row>
    <row r="4" customFormat="false" ht="45.75" hidden="false" customHeight="true" outlineLevel="0" collapsed="false">
      <c r="B4" s="12" t="s">
        <v>24</v>
      </c>
      <c r="C4" s="12"/>
      <c r="D4" s="12"/>
      <c r="E4" s="12"/>
      <c r="F4" s="12"/>
      <c r="G4" s="12"/>
      <c r="H4" s="12"/>
      <c r="I4" s="12"/>
      <c r="J4" s="12"/>
      <c r="K4" s="12"/>
      <c r="L4" s="12"/>
      <c r="M4" s="12"/>
    </row>
    <row r="6" customFormat="false" ht="29.85" hidden="false" customHeight="false" outlineLevel="0" collapsed="false">
      <c r="A6" s="13" t="s">
        <v>25</v>
      </c>
      <c r="B6" s="14" t="s">
        <v>26</v>
      </c>
      <c r="C6" s="14" t="s">
        <v>27</v>
      </c>
      <c r="D6" s="14" t="s">
        <v>28</v>
      </c>
      <c r="E6" s="14" t="s">
        <v>29</v>
      </c>
      <c r="F6" s="14" t="s">
        <v>30</v>
      </c>
      <c r="G6" s="14" t="s">
        <v>31</v>
      </c>
      <c r="H6" s="14" t="s">
        <v>32</v>
      </c>
      <c r="I6" s="14" t="s">
        <v>33</v>
      </c>
      <c r="J6" s="14" t="s">
        <v>34</v>
      </c>
    </row>
    <row r="7" customFormat="false" ht="39.75" hidden="false" customHeight="true" outlineLevel="0" collapsed="false">
      <c r="A7" s="15" t="n">
        <v>1</v>
      </c>
      <c r="B7" s="16" t="s">
        <v>35</v>
      </c>
      <c r="C7" s="15" t="s">
        <v>36</v>
      </c>
      <c r="D7" s="15" t="s">
        <v>37</v>
      </c>
      <c r="E7" s="15" t="s">
        <v>38</v>
      </c>
      <c r="F7" s="16" t="s">
        <v>39</v>
      </c>
      <c r="G7" s="16" t="s">
        <v>40</v>
      </c>
      <c r="H7" s="15" t="s">
        <v>41</v>
      </c>
      <c r="I7" s="17" t="s">
        <v>42</v>
      </c>
      <c r="J7" s="18" t="s">
        <v>43</v>
      </c>
    </row>
    <row r="8" customFormat="false" ht="39.75" hidden="false" customHeight="true" outlineLevel="0" collapsed="false">
      <c r="A8" s="19" t="n">
        <v>2</v>
      </c>
      <c r="B8" s="20" t="s">
        <v>35</v>
      </c>
      <c r="C8" s="19" t="s">
        <v>36</v>
      </c>
      <c r="D8" s="19" t="s">
        <v>37</v>
      </c>
      <c r="E8" s="19" t="s">
        <v>38</v>
      </c>
      <c r="F8" s="20" t="s">
        <v>39</v>
      </c>
      <c r="G8" s="20" t="s">
        <v>44</v>
      </c>
      <c r="H8" s="19" t="s">
        <v>45</v>
      </c>
      <c r="I8" s="21" t="s">
        <v>46</v>
      </c>
      <c r="J8" s="22" t="s">
        <v>47</v>
      </c>
    </row>
    <row r="9" customFormat="false" ht="39.75" hidden="false" customHeight="true" outlineLevel="0" collapsed="false">
      <c r="A9" s="15" t="n">
        <v>3</v>
      </c>
      <c r="B9" s="16" t="s">
        <v>35</v>
      </c>
      <c r="C9" s="15" t="s">
        <v>36</v>
      </c>
      <c r="D9" s="15" t="s">
        <v>37</v>
      </c>
      <c r="E9" s="15" t="s">
        <v>38</v>
      </c>
      <c r="F9" s="16" t="s">
        <v>48</v>
      </c>
      <c r="G9" s="16" t="s">
        <v>40</v>
      </c>
      <c r="H9" s="15" t="s">
        <v>49</v>
      </c>
      <c r="I9" s="17" t="s">
        <v>50</v>
      </c>
      <c r="J9" s="18" t="s">
        <v>43</v>
      </c>
    </row>
    <row r="10" customFormat="false" ht="39.75" hidden="false" customHeight="true" outlineLevel="0" collapsed="false">
      <c r="A10" s="19" t="n">
        <v>4</v>
      </c>
      <c r="B10" s="20" t="s">
        <v>35</v>
      </c>
      <c r="C10" s="19" t="s">
        <v>36</v>
      </c>
      <c r="D10" s="19" t="s">
        <v>37</v>
      </c>
      <c r="E10" s="19" t="s">
        <v>38</v>
      </c>
      <c r="F10" s="20" t="s">
        <v>48</v>
      </c>
      <c r="G10" s="20" t="s">
        <v>44</v>
      </c>
      <c r="H10" s="19" t="s">
        <v>51</v>
      </c>
      <c r="I10" s="21" t="s">
        <v>52</v>
      </c>
      <c r="J10" s="22" t="s">
        <v>47</v>
      </c>
    </row>
    <row r="11" customFormat="false" ht="39.75" hidden="false" customHeight="true" outlineLevel="0" collapsed="false">
      <c r="A11" s="15" t="n">
        <v>5</v>
      </c>
      <c r="B11" s="16" t="s">
        <v>35</v>
      </c>
      <c r="C11" s="15" t="s">
        <v>36</v>
      </c>
      <c r="D11" s="15" t="s">
        <v>37</v>
      </c>
      <c r="E11" s="15" t="s">
        <v>38</v>
      </c>
      <c r="F11" s="16" t="s">
        <v>53</v>
      </c>
      <c r="G11" s="16" t="s">
        <v>40</v>
      </c>
      <c r="H11" s="15" t="s">
        <v>54</v>
      </c>
      <c r="I11" s="17" t="s">
        <v>55</v>
      </c>
      <c r="J11" s="18" t="s">
        <v>43</v>
      </c>
    </row>
    <row r="12" customFormat="false" ht="39.75" hidden="false" customHeight="true" outlineLevel="0" collapsed="false">
      <c r="A12" s="19" t="n">
        <v>6</v>
      </c>
      <c r="B12" s="20" t="s">
        <v>35</v>
      </c>
      <c r="C12" s="19" t="s">
        <v>36</v>
      </c>
      <c r="D12" s="19" t="s">
        <v>37</v>
      </c>
      <c r="E12" s="19" t="s">
        <v>38</v>
      </c>
      <c r="F12" s="20" t="s">
        <v>53</v>
      </c>
      <c r="G12" s="20" t="s">
        <v>44</v>
      </c>
      <c r="H12" s="19" t="s">
        <v>56</v>
      </c>
      <c r="I12" s="21" t="s">
        <v>57</v>
      </c>
      <c r="J12" s="22" t="s">
        <v>47</v>
      </c>
    </row>
    <row r="13" customFormat="false" ht="39.75" hidden="false" customHeight="true" outlineLevel="0" collapsed="false">
      <c r="A13" s="19" t="n">
        <v>7</v>
      </c>
      <c r="B13" s="20" t="s">
        <v>35</v>
      </c>
      <c r="C13" s="19" t="s">
        <v>36</v>
      </c>
      <c r="D13" s="19" t="s">
        <v>37</v>
      </c>
      <c r="E13" s="19" t="s">
        <v>38</v>
      </c>
      <c r="F13" s="20" t="s">
        <v>58</v>
      </c>
      <c r="G13" s="20" t="s">
        <v>40</v>
      </c>
      <c r="H13" s="19" t="s">
        <v>59</v>
      </c>
      <c r="I13" s="21" t="s">
        <v>60</v>
      </c>
      <c r="J13" s="22" t="s">
        <v>61</v>
      </c>
    </row>
    <row r="14" customFormat="false" ht="39.75" hidden="false" customHeight="true" outlineLevel="0" collapsed="false">
      <c r="A14" s="19" t="n">
        <v>8</v>
      </c>
      <c r="B14" s="20" t="s">
        <v>35</v>
      </c>
      <c r="C14" s="19" t="s">
        <v>36</v>
      </c>
      <c r="D14" s="19" t="s">
        <v>37</v>
      </c>
      <c r="E14" s="19" t="s">
        <v>38</v>
      </c>
      <c r="F14" s="20" t="s">
        <v>58</v>
      </c>
      <c r="G14" s="20" t="s">
        <v>44</v>
      </c>
      <c r="H14" s="19" t="s">
        <v>62</v>
      </c>
      <c r="I14" s="21" t="s">
        <v>63</v>
      </c>
      <c r="J14" s="22" t="s">
        <v>64</v>
      </c>
    </row>
    <row r="15" customFormat="false" ht="39.75" hidden="false" customHeight="true" outlineLevel="0" collapsed="false">
      <c r="A15" s="15" t="n">
        <v>9</v>
      </c>
      <c r="B15" s="16" t="s">
        <v>65</v>
      </c>
      <c r="C15" s="15" t="s">
        <v>36</v>
      </c>
      <c r="D15" s="15" t="s">
        <v>37</v>
      </c>
      <c r="E15" s="15" t="s">
        <v>38</v>
      </c>
      <c r="F15" s="16" t="s">
        <v>39</v>
      </c>
      <c r="G15" s="16" t="s">
        <v>40</v>
      </c>
      <c r="H15" s="15" t="s">
        <v>41</v>
      </c>
      <c r="I15" s="17" t="s">
        <v>66</v>
      </c>
      <c r="J15" s="18" t="s">
        <v>43</v>
      </c>
    </row>
    <row r="16" customFormat="false" ht="39.75" hidden="false" customHeight="true" outlineLevel="0" collapsed="false">
      <c r="A16" s="19" t="n">
        <v>10</v>
      </c>
      <c r="B16" s="20" t="s">
        <v>65</v>
      </c>
      <c r="C16" s="19" t="s">
        <v>36</v>
      </c>
      <c r="D16" s="19" t="s">
        <v>37</v>
      </c>
      <c r="E16" s="19" t="s">
        <v>38</v>
      </c>
      <c r="F16" s="20" t="s">
        <v>39</v>
      </c>
      <c r="G16" s="20" t="s">
        <v>44</v>
      </c>
      <c r="H16" s="19" t="s">
        <v>45</v>
      </c>
      <c r="I16" s="21" t="s">
        <v>67</v>
      </c>
      <c r="J16" s="22" t="s">
        <v>47</v>
      </c>
    </row>
    <row r="17" customFormat="false" ht="39.75" hidden="false" customHeight="true" outlineLevel="0" collapsed="false">
      <c r="A17" s="15" t="n">
        <v>11</v>
      </c>
      <c r="B17" s="16" t="s">
        <v>65</v>
      </c>
      <c r="C17" s="15" t="s">
        <v>36</v>
      </c>
      <c r="D17" s="15" t="s">
        <v>37</v>
      </c>
      <c r="E17" s="15" t="s">
        <v>38</v>
      </c>
      <c r="F17" s="16" t="s">
        <v>48</v>
      </c>
      <c r="G17" s="16" t="s">
        <v>40</v>
      </c>
      <c r="H17" s="15" t="s">
        <v>49</v>
      </c>
      <c r="I17" s="17" t="s">
        <v>68</v>
      </c>
      <c r="J17" s="18" t="s">
        <v>43</v>
      </c>
    </row>
    <row r="18" customFormat="false" ht="39.75" hidden="false" customHeight="true" outlineLevel="0" collapsed="false">
      <c r="A18" s="19" t="n">
        <v>12</v>
      </c>
      <c r="B18" s="20" t="s">
        <v>65</v>
      </c>
      <c r="C18" s="19" t="s">
        <v>36</v>
      </c>
      <c r="D18" s="19" t="s">
        <v>37</v>
      </c>
      <c r="E18" s="19" t="s">
        <v>38</v>
      </c>
      <c r="F18" s="20" t="s">
        <v>48</v>
      </c>
      <c r="G18" s="20" t="s">
        <v>44</v>
      </c>
      <c r="H18" s="19" t="s">
        <v>51</v>
      </c>
      <c r="I18" s="21" t="s">
        <v>69</v>
      </c>
      <c r="J18" s="22" t="s">
        <v>47</v>
      </c>
    </row>
    <row r="19" customFormat="false" ht="39.75" hidden="false" customHeight="true" outlineLevel="0" collapsed="false">
      <c r="A19" s="15" t="n">
        <v>13</v>
      </c>
      <c r="B19" s="16" t="s">
        <v>65</v>
      </c>
      <c r="C19" s="15" t="s">
        <v>36</v>
      </c>
      <c r="D19" s="15" t="s">
        <v>37</v>
      </c>
      <c r="E19" s="15" t="s">
        <v>38</v>
      </c>
      <c r="F19" s="16" t="s">
        <v>53</v>
      </c>
      <c r="G19" s="16" t="s">
        <v>40</v>
      </c>
      <c r="H19" s="15" t="s">
        <v>54</v>
      </c>
      <c r="I19" s="17" t="s">
        <v>70</v>
      </c>
      <c r="J19" s="18" t="s">
        <v>43</v>
      </c>
    </row>
    <row r="20" customFormat="false" ht="39.75" hidden="false" customHeight="true" outlineLevel="0" collapsed="false">
      <c r="A20" s="19" t="n">
        <v>14</v>
      </c>
      <c r="B20" s="20" t="s">
        <v>65</v>
      </c>
      <c r="C20" s="19" t="s">
        <v>36</v>
      </c>
      <c r="D20" s="19" t="s">
        <v>37</v>
      </c>
      <c r="E20" s="19" t="s">
        <v>38</v>
      </c>
      <c r="F20" s="20" t="s">
        <v>53</v>
      </c>
      <c r="G20" s="20" t="s">
        <v>44</v>
      </c>
      <c r="H20" s="19" t="s">
        <v>56</v>
      </c>
      <c r="I20" s="21" t="s">
        <v>71</v>
      </c>
      <c r="J20" s="22" t="s">
        <v>47</v>
      </c>
    </row>
    <row r="21" customFormat="false" ht="39.75" hidden="false" customHeight="true" outlineLevel="0" collapsed="false">
      <c r="A21" s="19" t="n">
        <v>15</v>
      </c>
      <c r="B21" s="20" t="s">
        <v>65</v>
      </c>
      <c r="C21" s="19" t="s">
        <v>36</v>
      </c>
      <c r="D21" s="19" t="s">
        <v>37</v>
      </c>
      <c r="E21" s="19" t="s">
        <v>38</v>
      </c>
      <c r="F21" s="20" t="s">
        <v>58</v>
      </c>
      <c r="G21" s="20" t="s">
        <v>40</v>
      </c>
      <c r="H21" s="19" t="s">
        <v>59</v>
      </c>
      <c r="I21" s="21" t="s">
        <v>72</v>
      </c>
      <c r="J21" s="22" t="s">
        <v>61</v>
      </c>
    </row>
    <row r="22" customFormat="false" ht="39.75" hidden="false" customHeight="true" outlineLevel="0" collapsed="false">
      <c r="A22" s="19" t="n">
        <v>16</v>
      </c>
      <c r="B22" s="20" t="s">
        <v>65</v>
      </c>
      <c r="C22" s="19" t="s">
        <v>36</v>
      </c>
      <c r="D22" s="19" t="s">
        <v>37</v>
      </c>
      <c r="E22" s="19" t="s">
        <v>38</v>
      </c>
      <c r="F22" s="20" t="s">
        <v>58</v>
      </c>
      <c r="G22" s="20" t="s">
        <v>44</v>
      </c>
      <c r="H22" s="19" t="s">
        <v>62</v>
      </c>
      <c r="I22" s="21" t="s">
        <v>73</v>
      </c>
      <c r="J22" s="22" t="s">
        <v>64</v>
      </c>
    </row>
    <row r="24" customFormat="false" ht="15" hidden="false" customHeight="false" outlineLevel="0" collapsed="false">
      <c r="B24" s="3" t="s">
        <v>74</v>
      </c>
    </row>
    <row r="25" customFormat="false" ht="15" hidden="false" customHeight="false" outlineLevel="0" collapsed="false">
      <c r="B25" s="6" t="s">
        <v>75</v>
      </c>
    </row>
  </sheetData>
  <mergeCells count="1">
    <mergeCell ref="B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34"/>
    <col collapsed="false" customWidth="true" hidden="false" outlineLevel="0" max="4" min="4" style="0" width="20"/>
  </cols>
  <sheetData>
    <row r="2" customFormat="false" ht="23.85" hidden="false" customHeight="false" outlineLevel="0" collapsed="false">
      <c r="B2" s="1" t="s">
        <v>76</v>
      </c>
    </row>
    <row r="4" customFormat="false" ht="45.75" hidden="false" customHeight="true" outlineLevel="0" collapsed="false">
      <c r="B4" s="12" t="s">
        <v>77</v>
      </c>
      <c r="C4" s="12"/>
      <c r="D4" s="12"/>
      <c r="E4" s="12"/>
      <c r="F4" s="12"/>
      <c r="G4" s="12"/>
      <c r="H4" s="12"/>
    </row>
    <row r="6" customFormat="false" ht="15" hidden="false" customHeight="false" outlineLevel="0" collapsed="false">
      <c r="A6" s="14" t="s">
        <v>78</v>
      </c>
      <c r="B6" s="14" t="s">
        <v>79</v>
      </c>
      <c r="C6" s="14" t="s">
        <v>80</v>
      </c>
      <c r="D6" s="14" t="s">
        <v>81</v>
      </c>
    </row>
    <row r="7" customFormat="false" ht="45.75" hidden="false" customHeight="true" outlineLevel="0" collapsed="false">
      <c r="A7" s="23" t="s">
        <v>82</v>
      </c>
      <c r="B7" s="24" t="s">
        <v>83</v>
      </c>
      <c r="C7" s="24" t="s">
        <v>84</v>
      </c>
      <c r="D7" s="24" t="s">
        <v>85</v>
      </c>
    </row>
    <row r="8" customFormat="false" ht="45.75" hidden="false" customHeight="true" outlineLevel="0" collapsed="false">
      <c r="A8" s="23" t="s">
        <v>86</v>
      </c>
      <c r="B8" s="24" t="s">
        <v>87</v>
      </c>
      <c r="C8" s="24" t="s">
        <v>88</v>
      </c>
      <c r="D8" s="24" t="s">
        <v>85</v>
      </c>
    </row>
    <row r="9" customFormat="false" ht="45.75" hidden="false" customHeight="true" outlineLevel="0" collapsed="false">
      <c r="A9" s="18" t="s">
        <v>89</v>
      </c>
      <c r="B9" s="16" t="s">
        <v>87</v>
      </c>
      <c r="C9" s="15" t="s">
        <v>90</v>
      </c>
      <c r="D9" s="16" t="s">
        <v>91</v>
      </c>
    </row>
    <row r="10" customFormat="false" ht="45.75" hidden="false" customHeight="true" outlineLevel="0" collapsed="false">
      <c r="A10" s="18" t="s">
        <v>92</v>
      </c>
      <c r="B10" s="16" t="s">
        <v>93</v>
      </c>
      <c r="C10" s="15" t="s">
        <v>94</v>
      </c>
      <c r="D10" s="16" t="s">
        <v>91</v>
      </c>
    </row>
    <row r="11" customFormat="false" ht="45.75" hidden="false" customHeight="true" outlineLevel="0" collapsed="false">
      <c r="A11" s="18" t="s">
        <v>95</v>
      </c>
      <c r="B11" s="16" t="s">
        <v>96</v>
      </c>
      <c r="C11" s="15" t="s">
        <v>97</v>
      </c>
      <c r="D11" s="16" t="s">
        <v>91</v>
      </c>
    </row>
    <row r="12" customFormat="false" ht="45.75" hidden="false" customHeight="true" outlineLevel="0" collapsed="false">
      <c r="A12" s="18" t="s">
        <v>98</v>
      </c>
      <c r="B12" s="16" t="s">
        <v>99</v>
      </c>
      <c r="C12" s="15" t="s">
        <v>100</v>
      </c>
      <c r="D12" s="16" t="s">
        <v>91</v>
      </c>
    </row>
    <row r="14" customFormat="false" ht="45.75" hidden="false" customHeight="true" outlineLevel="0" collapsed="false">
      <c r="B14" s="25" t="s">
        <v>101</v>
      </c>
      <c r="C14" s="25"/>
      <c r="D14" s="25"/>
      <c r="E14" s="25"/>
      <c r="F14" s="25"/>
      <c r="G14" s="25"/>
      <c r="H14" s="25"/>
    </row>
  </sheetData>
  <mergeCells count="2">
    <mergeCell ref="B4:H4"/>
    <mergeCell ref="B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4" min="3" style="0" width="40"/>
    <col collapsed="false" customWidth="true" hidden="false" outlineLevel="0" max="5" min="5" style="0" width="30"/>
  </cols>
  <sheetData>
    <row r="2" customFormat="false" ht="23.85" hidden="false" customHeight="false" outlineLevel="0" collapsed="false">
      <c r="B2" s="1" t="s">
        <v>102</v>
      </c>
    </row>
    <row r="4" customFormat="false" ht="45.75" hidden="false" customHeight="true" outlineLevel="0" collapsed="false">
      <c r="B4" s="12" t="s">
        <v>103</v>
      </c>
      <c r="C4" s="12"/>
      <c r="D4" s="12"/>
      <c r="E4" s="12"/>
      <c r="F4" s="12"/>
      <c r="G4" s="12"/>
      <c r="H4" s="12"/>
    </row>
    <row r="6" customFormat="false" ht="15" hidden="false" customHeight="false" outlineLevel="0" collapsed="false">
      <c r="A6" s="14" t="s">
        <v>104</v>
      </c>
      <c r="B6" s="14" t="s">
        <v>105</v>
      </c>
      <c r="C6" s="14" t="s">
        <v>106</v>
      </c>
      <c r="D6" s="14" t="s">
        <v>107</v>
      </c>
      <c r="E6" s="14" t="s">
        <v>108</v>
      </c>
    </row>
    <row r="7" customFormat="false" ht="129.75" hidden="false" customHeight="true" outlineLevel="0" collapsed="false">
      <c r="A7" s="15" t="s">
        <v>109</v>
      </c>
      <c r="B7" s="17" t="s">
        <v>110</v>
      </c>
      <c r="C7" s="18" t="s">
        <v>111</v>
      </c>
      <c r="D7" s="18" t="s">
        <v>112</v>
      </c>
      <c r="E7" s="16" t="s">
        <v>113</v>
      </c>
    </row>
    <row r="8" customFormat="false" ht="129.75" hidden="false" customHeight="true" outlineLevel="0" collapsed="false">
      <c r="A8" s="15" t="s">
        <v>114</v>
      </c>
      <c r="B8" s="17" t="s">
        <v>115</v>
      </c>
      <c r="C8" s="18" t="s">
        <v>116</v>
      </c>
      <c r="D8" s="18" t="s">
        <v>117</v>
      </c>
      <c r="E8" s="16" t="s">
        <v>118</v>
      </c>
    </row>
    <row r="9" customFormat="false" ht="129.75" hidden="false" customHeight="true" outlineLevel="0" collapsed="false">
      <c r="A9" s="20" t="s">
        <v>119</v>
      </c>
      <c r="B9" s="22" t="s">
        <v>120</v>
      </c>
      <c r="C9" s="22" t="s">
        <v>121</v>
      </c>
      <c r="D9" s="22" t="s">
        <v>122</v>
      </c>
      <c r="E9" s="20" t="s">
        <v>123</v>
      </c>
    </row>
    <row r="11" customFormat="false" ht="15" hidden="false" customHeight="false" outlineLevel="0" collapsed="false">
      <c r="B11" s="3" t="s">
        <v>124</v>
      </c>
    </row>
    <row r="12" customFormat="false" ht="15" hidden="false" customHeight="false" outlineLevel="0" collapsed="false">
      <c r="A12" s="14" t="s">
        <v>104</v>
      </c>
      <c r="B12" s="14" t="s">
        <v>125</v>
      </c>
      <c r="C12" s="14" t="s">
        <v>126</v>
      </c>
    </row>
    <row r="13" customFormat="false" ht="15" hidden="false" customHeight="false" outlineLevel="0" collapsed="false">
      <c r="A13" s="15" t="s">
        <v>127</v>
      </c>
      <c r="B13" s="15" t="n">
        <v>2</v>
      </c>
      <c r="C13" s="15" t="n">
        <v>2</v>
      </c>
    </row>
    <row r="14" customFormat="false" ht="29.85" hidden="false" customHeight="false" outlineLevel="0" collapsed="false">
      <c r="A14" s="16" t="s">
        <v>128</v>
      </c>
      <c r="B14" s="15" t="n">
        <v>2</v>
      </c>
      <c r="C14" s="15" t="n">
        <v>0</v>
      </c>
      <c r="D14" s="18" t="s">
        <v>129</v>
      </c>
    </row>
    <row r="15" customFormat="false" ht="15" hidden="false" customHeight="false" outlineLevel="0" collapsed="false">
      <c r="A15" s="16" t="s">
        <v>130</v>
      </c>
      <c r="B15" s="15" t="n">
        <v>4</v>
      </c>
      <c r="C15" s="15" t="n">
        <v>2</v>
      </c>
    </row>
    <row r="17" customFormat="false" ht="60" hidden="false" customHeight="true" outlineLevel="0" collapsed="false">
      <c r="B17" s="25" t="s">
        <v>131</v>
      </c>
      <c r="C17" s="25"/>
      <c r="D17" s="25"/>
      <c r="E17" s="25"/>
      <c r="F17" s="25"/>
      <c r="G17" s="25"/>
      <c r="H17" s="25"/>
    </row>
  </sheetData>
  <mergeCells count="2">
    <mergeCell ref="B4:H4"/>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2"/>
    <col collapsed="false" customWidth="true" hidden="false" outlineLevel="0" max="4" min="4" style="0" width="44"/>
    <col collapsed="false" customWidth="true" hidden="false" outlineLevel="0" max="5" min="5" style="0" width="30"/>
    <col collapsed="false" customWidth="true" hidden="false" outlineLevel="0" max="6" min="6" style="0" width="20"/>
    <col collapsed="false" customWidth="true" hidden="false" outlineLevel="0" max="7" min="7" style="0" width="40"/>
  </cols>
  <sheetData>
    <row r="2" customFormat="false" ht="19.7" hidden="false" customHeight="false" outlineLevel="0" collapsed="false">
      <c r="B2" s="11" t="s">
        <v>132</v>
      </c>
    </row>
    <row r="4" customFormat="false" ht="15" hidden="false" customHeight="false" outlineLevel="0" collapsed="false">
      <c r="A4" s="13" t="s">
        <v>25</v>
      </c>
      <c r="B4" s="14" t="s">
        <v>133</v>
      </c>
      <c r="C4" s="14" t="s">
        <v>134</v>
      </c>
      <c r="D4" s="14" t="s">
        <v>135</v>
      </c>
      <c r="E4" s="14" t="s">
        <v>136</v>
      </c>
      <c r="F4" s="14" t="s">
        <v>137</v>
      </c>
      <c r="G4" s="14" t="s">
        <v>138</v>
      </c>
    </row>
    <row r="5" customFormat="false" ht="54" hidden="false" customHeight="true" outlineLevel="0" collapsed="false">
      <c r="A5" s="15" t="n">
        <v>1</v>
      </c>
      <c r="B5" s="15" t="s">
        <v>139</v>
      </c>
      <c r="C5" s="16" t="s">
        <v>140</v>
      </c>
      <c r="D5" s="18" t="s">
        <v>141</v>
      </c>
      <c r="E5" s="17" t="s">
        <v>142</v>
      </c>
      <c r="F5" s="16" t="s">
        <v>143</v>
      </c>
      <c r="G5" s="17" t="s">
        <v>144</v>
      </c>
    </row>
    <row r="6" customFormat="false" ht="54" hidden="false" customHeight="true" outlineLevel="0" collapsed="false">
      <c r="A6" s="15" t="n">
        <v>2</v>
      </c>
      <c r="B6" s="15" t="s">
        <v>139</v>
      </c>
      <c r="C6" s="16" t="s">
        <v>145</v>
      </c>
      <c r="D6" s="17" t="s">
        <v>146</v>
      </c>
      <c r="E6" s="18" t="s">
        <v>147</v>
      </c>
      <c r="F6" s="16" t="s">
        <v>143</v>
      </c>
      <c r="G6" s="18" t="s">
        <v>148</v>
      </c>
    </row>
    <row r="7" customFormat="false" ht="54" hidden="false" customHeight="true" outlineLevel="0" collapsed="false">
      <c r="A7" s="19" t="n">
        <v>3</v>
      </c>
      <c r="B7" s="19" t="s">
        <v>149</v>
      </c>
      <c r="C7" s="20" t="s">
        <v>150</v>
      </c>
      <c r="D7" s="22" t="s">
        <v>151</v>
      </c>
      <c r="E7" s="22" t="s">
        <v>152</v>
      </c>
      <c r="F7" s="20" t="s">
        <v>143</v>
      </c>
      <c r="G7" s="22" t="s">
        <v>153</v>
      </c>
    </row>
    <row r="8" customFormat="false" ht="54" hidden="false" customHeight="true" outlineLevel="0" collapsed="false">
      <c r="A8" s="19" t="n">
        <v>4</v>
      </c>
      <c r="B8" s="19" t="s">
        <v>149</v>
      </c>
      <c r="C8" s="20" t="s">
        <v>154</v>
      </c>
      <c r="D8" s="22" t="s">
        <v>155</v>
      </c>
      <c r="E8" s="21" t="s">
        <v>156</v>
      </c>
      <c r="F8" s="20" t="s">
        <v>143</v>
      </c>
      <c r="G8" s="22" t="s">
        <v>157</v>
      </c>
    </row>
    <row r="9" customFormat="false" ht="54" hidden="false" customHeight="true" outlineLevel="0" collapsed="false">
      <c r="A9" s="19" t="n">
        <v>5</v>
      </c>
      <c r="B9" s="19" t="s">
        <v>149</v>
      </c>
      <c r="C9" s="20" t="s">
        <v>158</v>
      </c>
      <c r="D9" s="22" t="s">
        <v>159</v>
      </c>
      <c r="E9" s="22" t="s">
        <v>160</v>
      </c>
      <c r="F9" s="20" t="s">
        <v>143</v>
      </c>
      <c r="G9" s="22" t="s">
        <v>161</v>
      </c>
    </row>
    <row r="10" customFormat="false" ht="54" hidden="false" customHeight="true" outlineLevel="0" collapsed="false">
      <c r="A10" s="19" t="n">
        <v>6</v>
      </c>
      <c r="B10" s="19" t="s">
        <v>149</v>
      </c>
      <c r="C10" s="20" t="s">
        <v>162</v>
      </c>
      <c r="D10" s="22" t="s">
        <v>163</v>
      </c>
      <c r="E10" s="22" t="s">
        <v>164</v>
      </c>
      <c r="F10" s="20" t="s">
        <v>143</v>
      </c>
      <c r="G10" s="22" t="s">
        <v>165</v>
      </c>
    </row>
    <row r="11" customFormat="false" ht="54" hidden="false" customHeight="true" outlineLevel="0" collapsed="false">
      <c r="A11" s="19" t="n">
        <v>7</v>
      </c>
      <c r="B11" s="19" t="s">
        <v>149</v>
      </c>
      <c r="C11" s="20" t="s">
        <v>166</v>
      </c>
      <c r="D11" s="22" t="s">
        <v>167</v>
      </c>
      <c r="E11" s="21" t="s">
        <v>168</v>
      </c>
      <c r="F11" s="20" t="s">
        <v>143</v>
      </c>
      <c r="G11" s="22" t="s">
        <v>169</v>
      </c>
    </row>
    <row r="12" customFormat="false" ht="54" hidden="false" customHeight="true" outlineLevel="0" collapsed="false">
      <c r="A12" s="26" t="n">
        <v>8</v>
      </c>
      <c r="B12" s="26"/>
      <c r="C12" s="27" t="s">
        <v>170</v>
      </c>
      <c r="D12" s="28" t="s">
        <v>171</v>
      </c>
      <c r="E12" s="28" t="s">
        <v>172</v>
      </c>
      <c r="F12" s="27" t="s">
        <v>173</v>
      </c>
      <c r="G12" s="29"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18"/>
    <col collapsed="false" customWidth="true" hidden="false" outlineLevel="0" max="4" min="4" style="0" width="16"/>
    <col collapsed="false" customWidth="true" hidden="false" outlineLevel="0" max="5" min="5" style="0" width="12"/>
    <col collapsed="false" customWidth="true" hidden="false" outlineLevel="0" max="6" min="6" style="0" width="34"/>
  </cols>
  <sheetData>
    <row r="2" customFormat="false" ht="23.85" hidden="false" customHeight="false" outlineLevel="0" collapsed="false">
      <c r="B2" s="1" t="s">
        <v>175</v>
      </c>
    </row>
    <row r="4" customFormat="false" ht="15" hidden="false" customHeight="false" outlineLevel="0" collapsed="false">
      <c r="B4" s="30" t="s">
        <v>176</v>
      </c>
    </row>
    <row r="6" customFormat="false" ht="26.85" hidden="false" customHeight="false" outlineLevel="0" collapsed="false">
      <c r="A6" s="14" t="s">
        <v>134</v>
      </c>
      <c r="B6" s="14" t="s">
        <v>177</v>
      </c>
      <c r="C6" s="13" t="s">
        <v>178</v>
      </c>
      <c r="D6" s="14" t="s">
        <v>179</v>
      </c>
      <c r="E6" s="14" t="s">
        <v>180</v>
      </c>
      <c r="F6" s="14" t="s">
        <v>34</v>
      </c>
    </row>
    <row r="7" customFormat="false" ht="31.5" hidden="false" customHeight="true" outlineLevel="0" collapsed="false">
      <c r="A7" s="18" t="s">
        <v>181</v>
      </c>
      <c r="B7" s="15" t="n">
        <v>3</v>
      </c>
      <c r="C7" s="26"/>
      <c r="D7" s="15" t="n">
        <f aca="false">B7-C7</f>
        <v>3</v>
      </c>
      <c r="E7" s="31" t="n">
        <f aca="false">IFERROR(D7/B7,"")</f>
        <v>1</v>
      </c>
      <c r="F7" s="18" t="s">
        <v>182</v>
      </c>
    </row>
    <row r="8" customFormat="false" ht="31.5" hidden="false" customHeight="true" outlineLevel="0" collapsed="false">
      <c r="A8" s="18" t="s">
        <v>183</v>
      </c>
      <c r="B8" s="15" t="n">
        <v>4</v>
      </c>
      <c r="C8" s="26"/>
      <c r="D8" s="15" t="n">
        <f aca="false">B8-C8</f>
        <v>4</v>
      </c>
      <c r="E8" s="31" t="n">
        <f aca="false">IFERROR(D8/B8,"")</f>
        <v>1</v>
      </c>
      <c r="F8" s="18" t="s">
        <v>182</v>
      </c>
    </row>
    <row r="9" customFormat="false" ht="31.5" hidden="false" customHeight="true" outlineLevel="0" collapsed="false">
      <c r="A9" s="18" t="s">
        <v>184</v>
      </c>
      <c r="B9" s="15" t="n">
        <v>1</v>
      </c>
      <c r="C9" s="26"/>
      <c r="D9" s="15" t="n">
        <f aca="false">B9-C9</f>
        <v>1</v>
      </c>
      <c r="E9" s="31" t="n">
        <f aca="false">IFERROR(D9/B9,"")</f>
        <v>1</v>
      </c>
      <c r="F9" s="18" t="s">
        <v>182</v>
      </c>
    </row>
    <row r="10" customFormat="false" ht="31.5" hidden="false" customHeight="true" outlineLevel="0" collapsed="false">
      <c r="A10" s="18" t="s">
        <v>185</v>
      </c>
      <c r="B10" s="15" t="n">
        <v>6</v>
      </c>
      <c r="C10" s="26"/>
      <c r="D10" s="15" t="n">
        <f aca="false">B10-C10</f>
        <v>6</v>
      </c>
      <c r="E10" s="31" t="n">
        <f aca="false">IFERROR(D10/B10,"")</f>
        <v>1</v>
      </c>
      <c r="F10" s="17" t="s">
        <v>186</v>
      </c>
    </row>
    <row r="11" customFormat="false" ht="31.5" hidden="false" customHeight="true" outlineLevel="0" collapsed="false">
      <c r="A11" s="18" t="s">
        <v>187</v>
      </c>
      <c r="B11" s="15" t="n">
        <v>2</v>
      </c>
      <c r="C11" s="26"/>
      <c r="D11" s="15" t="n">
        <f aca="false">B11-C11</f>
        <v>2</v>
      </c>
      <c r="E11" s="31" t="n">
        <f aca="false">IFERROR(D11/B11,"")</f>
        <v>1</v>
      </c>
      <c r="F11" s="18" t="s">
        <v>182</v>
      </c>
    </row>
    <row r="12" customFormat="false" ht="15" hidden="false" customHeight="false" outlineLevel="0" collapsed="false">
      <c r="A12" s="32" t="s">
        <v>188</v>
      </c>
      <c r="B12" s="32" t="n">
        <f aca="false">SUM(B7:B11)</f>
        <v>16</v>
      </c>
      <c r="C12" s="32" t="n">
        <f aca="false">SUM(C7:C11)</f>
        <v>0</v>
      </c>
      <c r="D12" s="32" t="n">
        <f aca="false">B12-C12</f>
        <v>16</v>
      </c>
      <c r="E12" s="33" t="n">
        <f aca="false">IFERROR(D12/B12,"")</f>
        <v>1</v>
      </c>
      <c r="F12" s="32"/>
    </row>
    <row r="15" customFormat="false" ht="60" hidden="false" customHeight="true" outlineLevel="0" collapsed="false">
      <c r="B15" s="12" t="s">
        <v>189</v>
      </c>
      <c r="C15" s="12"/>
      <c r="D15" s="12"/>
      <c r="E15" s="12"/>
      <c r="F15" s="12"/>
      <c r="G15" s="12"/>
    </row>
  </sheetData>
  <mergeCells count="1">
    <mergeCell ref="B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2026-07-22T22:42:20Z</dcterms:created>
  <dc:creator>openpyxl</dc:creator>
  <dc:description/>
  <dc:language>en-US</dc:language>
  <cp:lastModifiedBy/>
  <dcterms:modified xsi:type="dcterms:W3CDTF">2026-07-22T22:42:20Z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