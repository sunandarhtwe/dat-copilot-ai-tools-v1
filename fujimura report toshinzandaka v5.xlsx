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表紙" sheetId="1" state="visible" r:id="rId3"/>
    <sheet name="対象範囲サマリー" sheetId="2" state="visible" r:id="rId4"/>
    <sheet name="①実施したテストケース" sheetId="3" state="visible" r:id="rId5"/>
    <sheet name="②-1_十分性_トレーサビリティ" sheetId="4" state="visible" r:id="rId6"/>
    <sheet name="②-2_十分性_3段階比較" sheetId="5" state="visible" r:id="rId7"/>
    <sheet name="②-3_未記載観点検出スキル" sheetId="6" state="visible" r:id="rId8"/>
    <sheet name="③実施内容" sheetId="7" state="visible" r:id="rId9"/>
    <sheet name="④効率化_工数" sheetId="8" state="visible" r:id="rId10"/>
    <sheet name="【納品時参考資料】ツールについて" sheetId="9" state="visible" r:id="rId11"/>
    <sheet name="T-1_ツール概要" sheetId="10" state="visible" r:id="rId12"/>
    <sheet name="T-2_ツール比較検証結果" sheetId="11" state="visible" r:id="rId13"/>
    <sheet name="T-3_利用マニュアル"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<sst xmlns="http://schemas.openxmlformats.org/spreadsheetml/2006/main" count="513" uniqueCount="371">
  <si>
    <r>
      <rPr>
        <b val="true"/>
        <sz val="16"/>
        <rFont val="MS Pゴシック"/>
        <family val="0"/>
        <charset val="1"/>
      </rPr>
      <t xml:space="preserve">AI</t>
    </r>
    <r>
      <rPr>
        <b val="true"/>
        <sz val="16"/>
        <rFont val="Noto Sans CJK SC"/>
        <family val="2"/>
      </rPr>
      <t xml:space="preserve">活用結合テスト検証報告書</t>
    </r>
  </si>
  <si>
    <t xml:space="preserve">【題材】投信残高注文画面（申込受付一覧・申込受付確認）</t>
  </si>
  <si>
    <t xml:space="preserve">案件名</t>
  </si>
  <si>
    <r>
      <rPr>
        <sz val="10"/>
        <rFont val="MS Pゴシック"/>
        <family val="0"/>
        <charset val="1"/>
      </rPr>
      <t xml:space="preserve">1158</t>
    </r>
    <r>
      <rPr>
        <sz val="10"/>
        <rFont val="Noto Sans CJK SC"/>
        <family val="2"/>
      </rPr>
      <t xml:space="preserve">【</t>
    </r>
    <r>
      <rPr>
        <sz val="10"/>
        <rFont val="MS Pゴシック"/>
        <family val="0"/>
        <charset val="1"/>
      </rPr>
      <t xml:space="preserve">FR</t>
    </r>
    <r>
      <rPr>
        <sz val="10"/>
        <rFont val="Noto Sans CJK SC"/>
        <family val="2"/>
      </rPr>
      <t xml:space="preserve">】</t>
    </r>
    <r>
      <rPr>
        <sz val="10"/>
        <rFont val="MS Pゴシック"/>
        <family val="0"/>
        <charset val="1"/>
      </rPr>
      <t xml:space="preserve">(</t>
    </r>
    <r>
      <rPr>
        <sz val="10"/>
        <rFont val="Noto Sans CJK SC"/>
        <family val="2"/>
      </rPr>
      <t xml:space="preserve">全社</t>
    </r>
    <r>
      <rPr>
        <sz val="10"/>
        <rFont val="MS Pゴシック"/>
        <family val="0"/>
        <charset val="1"/>
      </rPr>
      <t xml:space="preserve">)</t>
    </r>
    <r>
      <rPr>
        <sz val="10"/>
        <rFont val="Noto Sans CJK SC"/>
        <family val="2"/>
      </rPr>
      <t xml:space="preserve">非課税口座開設日の先日付</t>
    </r>
    <r>
      <rPr>
        <sz val="10"/>
        <rFont val="MS Pゴシック"/>
        <family val="0"/>
        <charset val="1"/>
      </rPr>
      <t xml:space="preserve">NISA</t>
    </r>
    <r>
      <rPr>
        <sz val="10"/>
        <rFont val="Noto Sans CJK SC"/>
        <family val="2"/>
      </rPr>
      <t xml:space="preserve">注文対応</t>
    </r>
  </si>
  <si>
    <t xml:space="preserve">依頼元</t>
  </si>
  <si>
    <r>
      <rPr>
        <sz val="10"/>
        <rFont val="Noto Sans CJK SC"/>
        <family val="2"/>
      </rPr>
      <t xml:space="preserve">藤村 大地／</t>
    </r>
    <r>
      <rPr>
        <sz val="10"/>
        <rFont val="MS Pゴシック"/>
        <family val="0"/>
        <charset val="1"/>
      </rPr>
      <t xml:space="preserve">DIR</t>
    </r>
    <r>
      <rPr>
        <sz val="10"/>
        <rFont val="Noto Sans CJK SC"/>
        <family val="2"/>
      </rPr>
      <t xml:space="preserve">金融フロントシステム第二部</t>
    </r>
  </si>
  <si>
    <t xml:space="preserve">本報告の位置づけ</t>
  </si>
  <si>
    <r>
      <rPr>
        <sz val="10"/>
        <rFont val="Noto Sans CJK SC"/>
        <family val="2"/>
      </rPr>
      <t xml:space="preserve">元々の依頼（結合テスト以降のテスト工程を</t>
    </r>
    <r>
      <rPr>
        <sz val="10"/>
        <rFont val="MS Pゴシック"/>
        <family val="0"/>
        <charset val="1"/>
      </rPr>
      <t xml:space="preserve">AI</t>
    </r>
    <r>
      <rPr>
        <sz val="10"/>
        <rFont val="Noto Sans CJK SC"/>
        <family val="2"/>
      </rPr>
      <t xml:space="preserve">活用により</t>
    </r>
    <r>
      <rPr>
        <sz val="10"/>
        <rFont val="MS Pゴシック"/>
        <family val="0"/>
        <charset val="1"/>
      </rPr>
      <t xml:space="preserve">DAT</t>
    </r>
    <r>
      <rPr>
        <sz val="10"/>
        <rFont val="Noto Sans CJK SC"/>
        <family val="2"/>
      </rPr>
      <t xml:space="preserve">のみで実施できることの検証・報告）に対し、対象範囲全体のうち「投信残高注文画面」</t>
    </r>
    <r>
      <rPr>
        <sz val="10"/>
        <rFont val="MS Pゴシック"/>
        <family val="0"/>
        <charset val="1"/>
      </rPr>
      <t xml:space="preserve">1</t>
    </r>
    <r>
      <rPr>
        <sz val="10"/>
        <rFont val="Noto Sans CJK SC"/>
        <family val="2"/>
      </rPr>
      <t xml:space="preserve">機能を代表例として選び、①実施したテストケース ②十分性および検証方法 ③実施内容 ④</t>
    </r>
    <r>
      <rPr>
        <sz val="10"/>
        <rFont val="MS Pゴシック"/>
        <family val="0"/>
        <charset val="1"/>
      </rPr>
      <t xml:space="preserve">AI</t>
    </r>
    <r>
      <rPr>
        <sz val="10"/>
        <rFont val="Noto Sans CJK SC"/>
        <family val="2"/>
      </rPr>
      <t xml:space="preserve">活用による効率化 の</t>
    </r>
    <r>
      <rPr>
        <sz val="10"/>
        <rFont val="MS Pゴシック"/>
        <family val="0"/>
        <charset val="1"/>
      </rPr>
      <t xml:space="preserve">4</t>
    </r>
    <r>
      <rPr>
        <sz val="10"/>
        <rFont val="Noto Sans CJK SC"/>
        <family val="2"/>
      </rPr>
      <t xml:space="preserve">点を他機能にも展開可能な粒度で深掘りして報告する。</t>
    </r>
  </si>
  <si>
    <t xml:space="preserve">選定理由</t>
  </si>
  <si>
    <r>
      <rPr>
        <sz val="10"/>
        <rFont val="Noto Sans CJK SC"/>
        <family val="2"/>
      </rPr>
      <t xml:space="preserve">投信残高注文画面は、①先日付</t>
    </r>
    <r>
      <rPr>
        <sz val="10"/>
        <rFont val="MS Pゴシック"/>
        <family val="0"/>
        <charset val="1"/>
      </rPr>
      <t xml:space="preserve">NISA</t>
    </r>
    <r>
      <rPr>
        <sz val="10"/>
        <rFont val="Noto Sans CJK SC"/>
        <family val="2"/>
      </rPr>
      <t xml:space="preserve">注文の受付（会社条件</t>
    </r>
    <r>
      <rPr>
        <sz val="10"/>
        <rFont val="MS Pゴシック"/>
        <family val="0"/>
        <charset val="1"/>
      </rPr>
      <t xml:space="preserve">393</t>
    </r>
    <r>
      <rPr>
        <sz val="10"/>
        <rFont val="Noto Sans CJK SC"/>
        <family val="2"/>
      </rPr>
      <t xml:space="preserve">）②夜間バッチによる口座未開設時の自動取消（バッチ取消フラグ）③画面表示ロジック（</t>
    </r>
    <r>
      <rPr>
        <sz val="10"/>
        <rFont val="MS Pゴシック"/>
        <family val="0"/>
        <charset val="1"/>
      </rPr>
      <t xml:space="preserve">MF</t>
    </r>
    <r>
      <rPr>
        <sz val="10"/>
        <rFont val="Noto Sans CJK SC"/>
        <family val="2"/>
      </rPr>
      <t xml:space="preserve">コード</t>
    </r>
    <r>
      <rPr>
        <sz val="10"/>
        <rFont val="MS Pゴシック"/>
        <family val="0"/>
        <charset val="1"/>
      </rPr>
      <t xml:space="preserve">055</t>
    </r>
    <r>
      <rPr>
        <sz val="10"/>
        <rFont val="Noto Sans CJK SC"/>
        <family val="2"/>
      </rPr>
      <t xml:space="preserve">・取消ボタン制御）の</t>
    </r>
    <r>
      <rPr>
        <sz val="10"/>
        <rFont val="MS Pゴシック"/>
        <family val="0"/>
        <charset val="1"/>
      </rPr>
      <t xml:space="preserve">3</t>
    </r>
    <r>
      <rPr>
        <sz val="10"/>
        <rFont val="Noto Sans CJK SC"/>
        <family val="2"/>
      </rPr>
      <t xml:space="preserve">層が</t>
    </r>
    <r>
      <rPr>
        <sz val="10"/>
        <rFont val="MS Pゴシック"/>
        <family val="0"/>
        <charset val="1"/>
      </rPr>
      <t xml:space="preserve">1</t>
    </r>
    <r>
      <rPr>
        <sz val="10"/>
        <rFont val="Noto Sans CJK SC"/>
        <family val="2"/>
      </rPr>
      <t xml:space="preserve">画面に集約されており、</t>
    </r>
    <r>
      <rPr>
        <sz val="10"/>
        <rFont val="MS Pゴシック"/>
        <family val="0"/>
        <charset val="1"/>
      </rPr>
      <t xml:space="preserve">AI</t>
    </r>
    <r>
      <rPr>
        <sz val="10"/>
        <rFont val="Noto Sans CJK SC"/>
        <family val="2"/>
      </rPr>
      <t xml:space="preserve">生成・人的レビュー・設計書精読という</t>
    </r>
    <r>
      <rPr>
        <sz val="10"/>
        <rFont val="MS Pゴシック"/>
        <family val="0"/>
        <charset val="1"/>
      </rPr>
      <t xml:space="preserve">3</t>
    </r>
    <r>
      <rPr>
        <sz val="10"/>
        <rFont val="Noto Sans CJK SC"/>
        <family val="2"/>
      </rPr>
      <t xml:space="preserve">段階の検証プロセスの効果を最も明確に示せるため。</t>
    </r>
  </si>
  <si>
    <t xml:space="preserve">目次</t>
  </si>
  <si>
    <r>
      <rPr>
        <sz val="10"/>
        <rFont val="Noto Sans CJK SC"/>
        <family val="2"/>
      </rPr>
      <t xml:space="preserve">・対象範囲サマリー（案件</t>
    </r>
    <r>
      <rPr>
        <sz val="10"/>
        <rFont val="MS Pゴシック"/>
        <family val="0"/>
        <charset val="1"/>
      </rPr>
      <t xml:space="preserve">1158</t>
    </r>
    <r>
      <rPr>
        <sz val="10"/>
        <rFont val="Noto Sans CJK SC"/>
        <family val="2"/>
      </rPr>
      <t xml:space="preserve">全体のうち本報告のカバー範囲）</t>
    </r>
  </si>
  <si>
    <r>
      <rPr>
        <sz val="10"/>
        <rFont val="Noto Sans CJK SC"/>
        <family val="2"/>
      </rPr>
      <t xml:space="preserve">・①実施したテストケース（全</t>
    </r>
    <r>
      <rPr>
        <sz val="10"/>
        <rFont val="MS Pゴシック"/>
        <family val="0"/>
        <charset val="1"/>
      </rPr>
      <t xml:space="preserve">16</t>
    </r>
    <r>
      <rPr>
        <sz val="10"/>
        <rFont val="Noto Sans CJK SC"/>
        <family val="2"/>
      </rPr>
      <t xml:space="preserve">件詳細）</t>
    </r>
  </si>
  <si>
    <r>
      <rPr>
        <sz val="10"/>
        <rFont val="Noto Sans CJK SC"/>
        <family val="2"/>
      </rPr>
      <t xml:space="preserve">・②</t>
    </r>
    <r>
      <rPr>
        <sz val="10"/>
        <rFont val="MS Pゴシック"/>
        <family val="0"/>
        <charset val="1"/>
      </rPr>
      <t xml:space="preserve">-1 </t>
    </r>
    <r>
      <rPr>
        <sz val="10"/>
        <rFont val="Noto Sans CJK SC"/>
        <family val="2"/>
      </rPr>
      <t xml:space="preserve">十分性検証（要件定義書トレーサビリティ）</t>
    </r>
  </si>
  <si>
    <r>
      <rPr>
        <sz val="10"/>
        <rFont val="Noto Sans CJK SC"/>
        <family val="2"/>
      </rPr>
      <t xml:space="preserve">・②</t>
    </r>
    <r>
      <rPr>
        <sz val="10"/>
        <rFont val="MS Pゴシック"/>
        <family val="0"/>
        <charset val="1"/>
      </rPr>
      <t xml:space="preserve">-2 </t>
    </r>
    <r>
      <rPr>
        <sz val="10"/>
        <rFont val="Noto Sans CJK SC"/>
        <family val="2"/>
      </rPr>
      <t xml:space="preserve">十分性検証（</t>
    </r>
    <r>
      <rPr>
        <sz val="10"/>
        <rFont val="MS Pゴシック"/>
        <family val="0"/>
        <charset val="1"/>
      </rPr>
      <t xml:space="preserve">3</t>
    </r>
    <r>
      <rPr>
        <sz val="10"/>
        <rFont val="Noto Sans CJK SC"/>
        <family val="2"/>
      </rPr>
      <t xml:space="preserve">段階検出プロセスの比較）</t>
    </r>
  </si>
  <si>
    <r>
      <rPr>
        <sz val="10"/>
        <rFont val="Noto Sans CJK SC"/>
        <family val="2"/>
      </rPr>
      <t xml:space="preserve">・②</t>
    </r>
    <r>
      <rPr>
        <sz val="10"/>
        <rFont val="MS Pゴシック"/>
        <family val="0"/>
        <charset val="1"/>
      </rPr>
      <t xml:space="preserve">-3 </t>
    </r>
    <r>
      <rPr>
        <sz val="10"/>
        <rFont val="Noto Sans CJK SC"/>
        <family val="2"/>
      </rPr>
      <t xml:space="preserve">十分性検証（文書に記載されていない観点を検出するスキル）</t>
    </r>
  </si>
  <si>
    <t xml:space="preserve">・③実施内容（詳細タイムライン）</t>
  </si>
  <si>
    <r>
      <rPr>
        <sz val="10"/>
        <rFont val="Noto Sans CJK SC"/>
        <family val="2"/>
      </rPr>
      <t xml:space="preserve">・④</t>
    </r>
    <r>
      <rPr>
        <sz val="10"/>
        <rFont val="MS Pゴシック"/>
        <family val="0"/>
        <charset val="1"/>
      </rPr>
      <t xml:space="preserve">AI</t>
    </r>
    <r>
      <rPr>
        <sz val="10"/>
        <rFont val="Noto Sans CJK SC"/>
        <family val="2"/>
      </rPr>
      <t xml:space="preserve">活用による効率化（工数）</t>
    </r>
  </si>
  <si>
    <t xml:space="preserve">・【納品時参考資料】使用ツールについて（①〜④のご承認後にご参照ください）</t>
  </si>
  <si>
    <t xml:space="preserve">凡例</t>
  </si>
  <si>
    <t xml:space="preserve">黄色セル</t>
  </si>
  <si>
    <t xml:space="preserve">実績値の記入が必要な項目</t>
  </si>
  <si>
    <t xml:space="preserve">緑色セル</t>
  </si>
  <si>
    <r>
      <rPr>
        <sz val="10"/>
        <rFont val="MS Pゴシック"/>
        <family val="0"/>
        <charset val="1"/>
      </rPr>
      <t xml:space="preserve">AI</t>
    </r>
    <r>
      <rPr>
        <sz val="10"/>
        <rFont val="Noto Sans CJK SC"/>
        <family val="2"/>
      </rPr>
      <t xml:space="preserve">生成・人的レビューいずれでも検出されず、設計書精読により新たに検出した観点</t>
    </r>
  </si>
  <si>
    <t xml:space="preserve">橙色セル</t>
  </si>
  <si>
    <t xml:space="preserve">今後の課題として残る未実施範囲</t>
  </si>
  <si>
    <r>
      <rPr>
        <b val="true"/>
        <sz val="16"/>
        <rFont val="Noto Sans CJK SC"/>
        <family val="2"/>
      </rPr>
      <t xml:space="preserve">案件</t>
    </r>
    <r>
      <rPr>
        <b val="true"/>
        <sz val="16"/>
        <rFont val="MS Pゴシック"/>
        <family val="0"/>
        <charset val="1"/>
      </rPr>
      <t xml:space="preserve">1158 </t>
    </r>
    <r>
      <rPr>
        <b val="true"/>
        <sz val="16"/>
        <rFont val="Noto Sans CJK SC"/>
        <family val="2"/>
      </rPr>
      <t xml:space="preserve">対象範囲サマリー　―　本報告はどこまでカバーしているか</t>
    </r>
  </si>
  <si>
    <r>
      <rPr>
        <sz val="10"/>
        <rFont val="Noto Sans CJK SC"/>
        <family val="2"/>
      </rPr>
      <t xml:space="preserve">要件定義書「</t>
    </r>
    <r>
      <rPr>
        <sz val="10"/>
        <rFont val="MS Pゴシック"/>
        <family val="0"/>
        <charset val="1"/>
      </rPr>
      <t xml:space="preserve">11.2.1</t>
    </r>
    <r>
      <rPr>
        <sz val="10"/>
        <rFont val="Noto Sans CJK SC"/>
        <family val="2"/>
      </rPr>
      <t xml:space="preserve">．画面一覧」に記載の変更対象画面は全</t>
    </r>
    <r>
      <rPr>
        <sz val="10"/>
        <rFont val="MS Pゴシック"/>
        <family val="0"/>
        <charset val="1"/>
      </rPr>
      <t xml:space="preserve">4</t>
    </r>
    <r>
      <rPr>
        <sz val="10"/>
        <rFont val="Noto Sans CJK SC"/>
        <family val="2"/>
      </rPr>
      <t xml:space="preserve">画面。本報告では、そのうち「投信残高注文」画面を深掘りの題材として扱っている。他の</t>
    </r>
    <r>
      <rPr>
        <sz val="10"/>
        <rFont val="MS Pゴシック"/>
        <family val="0"/>
        <charset val="1"/>
      </rPr>
      <t xml:space="preserve">3</t>
    </r>
    <r>
      <rPr>
        <sz val="10"/>
        <rFont val="Noto Sans CJK SC"/>
        <family val="2"/>
      </rPr>
      <t xml:space="preserve">画面は本報告の対象外であり、次段階で同様の検証を行う。</t>
    </r>
  </si>
  <si>
    <t xml:space="preserve">画面</t>
  </si>
  <si>
    <r>
      <rPr>
        <b val="true"/>
        <sz val="10"/>
        <color rgb="FFFFFFFF"/>
        <rFont val="Noto Sans CJK SC"/>
        <family val="2"/>
      </rPr>
      <t xml:space="preserve">案件</t>
    </r>
    <r>
      <rPr>
        <b val="true"/>
        <sz val="10"/>
        <color rgb="FFFFFFFF"/>
        <rFont val="MS Pゴシック"/>
        <family val="0"/>
        <charset val="1"/>
      </rPr>
      <t xml:space="preserve">1158</t>
    </r>
    <r>
      <rPr>
        <b val="true"/>
        <sz val="10"/>
        <color rgb="FFFFFFFF"/>
        <rFont val="Noto Sans CJK SC"/>
        <family val="2"/>
      </rPr>
      <t xml:space="preserve">での変更内容</t>
    </r>
  </si>
  <si>
    <t xml:space="preserve">本報告での状態</t>
  </si>
  <si>
    <t xml:space="preserve">テストケース件数</t>
  </si>
  <si>
    <t xml:space="preserve">投信残高注文
（申込受付一覧・確認）</t>
  </si>
  <si>
    <t xml:space="preserve">夜間バッチで口座未開設時にバッチ取消フラグが立ち、「失効」表示・取消ボタン制御を行う</t>
  </si>
  <si>
    <t xml:space="preserve">✅ 完了（本報告の題材）</t>
  </si>
  <si>
    <r>
      <rPr>
        <sz val="12"/>
        <rFont val="MS Pゴシック"/>
        <family val="0"/>
        <charset val="1"/>
      </rPr>
      <t xml:space="preserve">16</t>
    </r>
    <r>
      <rPr>
        <sz val="12"/>
        <rFont val="Noto Sans CJK SC"/>
        <family val="2"/>
      </rPr>
      <t xml:space="preserve">件</t>
    </r>
  </si>
  <si>
    <t xml:space="preserve">進捗状況一覧</t>
  </si>
  <si>
    <r>
      <rPr>
        <sz val="12"/>
        <rFont val="Noto Sans CJK SC"/>
        <family val="2"/>
      </rPr>
      <t xml:space="preserve">検索条件に「バッチ失効」を追加し、夜間に取消された先日付</t>
    </r>
    <r>
      <rPr>
        <sz val="12"/>
        <rFont val="MS Pゴシック"/>
        <family val="0"/>
        <charset val="1"/>
      </rPr>
      <t xml:space="preserve">NISA</t>
    </r>
    <r>
      <rPr>
        <sz val="12"/>
        <rFont val="Noto Sans CJK SC"/>
        <family val="2"/>
      </rPr>
      <t xml:space="preserve">注文を確認可能にする</t>
    </r>
  </si>
  <si>
    <t xml:space="preserve">🔲 次段階（未着手）</t>
  </si>
  <si>
    <t xml:space="preserve">-</t>
  </si>
  <si>
    <t xml:space="preserve">本部検印／営業店検印</t>
  </si>
  <si>
    <r>
      <rPr>
        <sz val="12"/>
        <rFont val="Noto Sans CJK SC"/>
        <family val="2"/>
      </rPr>
      <t xml:space="preserve">非課税口座に紐づく先日付</t>
    </r>
    <r>
      <rPr>
        <sz val="12"/>
        <rFont val="MS Pゴシック"/>
        <family val="0"/>
        <charset val="1"/>
      </rPr>
      <t xml:space="preserve">NISA</t>
    </r>
    <r>
      <rPr>
        <sz val="12"/>
        <rFont val="Noto Sans CJK SC"/>
        <family val="2"/>
      </rPr>
      <t xml:space="preserve">注文が存在する場合にメッセージを表示する</t>
    </r>
  </si>
  <si>
    <t xml:space="preserve">申込状況一覧
（タブレット）</t>
  </si>
  <si>
    <r>
      <rPr>
        <sz val="12"/>
        <rFont val="Noto Sans CJK SC"/>
        <family val="2"/>
      </rPr>
      <t xml:space="preserve">夜間に取消された先日付</t>
    </r>
    <r>
      <rPr>
        <sz val="12"/>
        <rFont val="MS Pゴシック"/>
        <family val="0"/>
        <charset val="1"/>
      </rPr>
      <t xml:space="preserve">NISA</t>
    </r>
    <r>
      <rPr>
        <sz val="12"/>
        <rFont val="Noto Sans CJK SC"/>
        <family val="2"/>
      </rPr>
      <t xml:space="preserve">注文を確認可能にする</t>
    </r>
  </si>
  <si>
    <t xml:space="preserve">凡例：✅ 完了（緑）＝本報告でテストケース作成・検証まで実施　／　🔲 次段階（橙）＝要件定義書には記載があるが本報告では未着手</t>
  </si>
  <si>
    <r>
      <rPr>
        <b val="true"/>
        <sz val="16"/>
        <rFont val="Noto Sans CJK SC"/>
        <family val="2"/>
      </rPr>
      <t xml:space="preserve">①実施したテストケース　―　投信残高注文画面　全</t>
    </r>
    <r>
      <rPr>
        <b val="true"/>
        <sz val="16"/>
        <rFont val="MS Pゴシック"/>
        <family val="0"/>
        <charset val="1"/>
      </rPr>
      <t xml:space="preserve">16</t>
    </r>
    <r>
      <rPr>
        <b val="true"/>
        <sz val="16"/>
        <rFont val="Noto Sans CJK SC"/>
        <family val="2"/>
      </rPr>
      <t xml:space="preserve">件</t>
    </r>
  </si>
  <si>
    <r>
      <rPr>
        <sz val="10"/>
        <rFont val="Noto Sans CJK SC"/>
        <family val="2"/>
      </rPr>
      <t xml:space="preserve">対象ロジック：ホスト送信状況</t>
    </r>
    <r>
      <rPr>
        <sz val="10"/>
        <rFont val="MS Pゴシック"/>
        <family val="0"/>
        <charset val="1"/>
      </rPr>
      <t xml:space="preserve">×</t>
    </r>
    <r>
      <rPr>
        <sz val="10"/>
        <rFont val="Noto Sans CJK SC"/>
        <family val="2"/>
      </rPr>
      <t xml:space="preserve">バッチ取消フラグによる「失効」表示判定、および申込受付確認画面の取消ボタン表示制御。すべてのケースは会社条件</t>
    </r>
    <r>
      <rPr>
        <sz val="10"/>
        <rFont val="MS Pゴシック"/>
        <family val="0"/>
        <charset val="1"/>
      </rPr>
      <t xml:space="preserve">[393]=1</t>
    </r>
    <r>
      <rPr>
        <sz val="10"/>
        <rFont val="Noto Sans CJK SC"/>
        <family val="2"/>
      </rPr>
      <t xml:space="preserve">（非課税簡易開設先日付</t>
    </r>
    <r>
      <rPr>
        <sz val="10"/>
        <rFont val="MS Pゴシック"/>
        <family val="0"/>
        <charset val="1"/>
      </rPr>
      <t xml:space="preserve">NISA</t>
    </r>
    <r>
      <rPr>
        <sz val="10"/>
        <rFont val="Noto Sans CJK SC"/>
        <family val="2"/>
      </rPr>
      <t xml:space="preserve">注文可能フラグ：可）のもとで申込日付がシステム日付より先日付（先日付</t>
    </r>
    <r>
      <rPr>
        <sz val="10"/>
        <rFont val="MS Pゴシック"/>
        <family val="0"/>
        <charset val="1"/>
      </rPr>
      <t xml:space="preserve">NISA</t>
    </r>
    <r>
      <rPr>
        <sz val="10"/>
        <rFont val="Noto Sans CJK SC"/>
        <family val="2"/>
      </rPr>
      <t xml:space="preserve">注文）であることを前提とする。</t>
    </r>
  </si>
  <si>
    <t xml:space="preserve">No.</t>
  </si>
  <si>
    <t xml:space="preserve">システム日付</t>
  </si>
  <si>
    <t xml:space="preserve">申込日付
（先日付）</t>
  </si>
  <si>
    <r>
      <rPr>
        <b val="true"/>
        <sz val="10"/>
        <color rgb="FFFFFFFF"/>
        <rFont val="Noto Sans CJK SC"/>
        <family val="2"/>
      </rPr>
      <t xml:space="preserve">会社条件</t>
    </r>
    <r>
      <rPr>
        <b val="true"/>
        <sz val="10"/>
        <color rgb="FFFFFFFF"/>
        <rFont val="MS Pゴシック"/>
        <family val="0"/>
        <charset val="1"/>
      </rPr>
      <t xml:space="preserve">[393]</t>
    </r>
  </si>
  <si>
    <t xml:space="preserve">ホスト送信状況</t>
  </si>
  <si>
    <t xml:space="preserve">バッチ取消フラグ</t>
  </si>
  <si>
    <t xml:space="preserve">証券口座番号／受付番号</t>
  </si>
  <si>
    <t xml:space="preserve">期待結果</t>
  </si>
  <si>
    <t xml:space="preserve">備考</t>
  </si>
  <si>
    <t xml:space="preserve">申込受付一覧</t>
  </si>
  <si>
    <t xml:space="preserve">2026/02/25</t>
  </si>
  <si>
    <t xml:space="preserve">2026/02/27</t>
  </si>
  <si>
    <r>
      <rPr>
        <sz val="10"/>
        <rFont val="MS Pゴシック"/>
        <family val="0"/>
        <charset val="1"/>
      </rPr>
      <t xml:space="preserve">393=1</t>
    </r>
    <r>
      <rPr>
        <sz val="10"/>
        <rFont val="Noto Sans CJK SC"/>
        <family val="2"/>
      </rPr>
      <t xml:space="preserve">（非課税簡易開設先日付</t>
    </r>
    <r>
      <rPr>
        <sz val="10"/>
        <rFont val="MS Pゴシック"/>
        <family val="0"/>
        <charset val="1"/>
      </rPr>
      <t xml:space="preserve">NISA</t>
    </r>
    <r>
      <rPr>
        <sz val="10"/>
        <rFont val="Noto Sans CJK SC"/>
        <family val="2"/>
      </rPr>
      <t xml:space="preserve">注文可能フラグ：可）</t>
    </r>
  </si>
  <si>
    <r>
      <rPr>
        <sz val="10"/>
        <rFont val="Noto Sans CJK SC"/>
        <family val="2"/>
      </rPr>
      <t xml:space="preserve">未処理</t>
    </r>
    <r>
      <rPr>
        <sz val="10"/>
        <rFont val="MS Pゴシック"/>
        <family val="0"/>
        <charset val="1"/>
      </rPr>
      <t xml:space="preserve">(0)</t>
    </r>
  </si>
  <si>
    <r>
      <rPr>
        <sz val="10"/>
        <rFont val="Noto Sans CJK SC"/>
        <family val="2"/>
      </rPr>
      <t xml:space="preserve">なし</t>
    </r>
    <r>
      <rPr>
        <sz val="10"/>
        <rFont val="MS Pゴシック"/>
        <family val="0"/>
        <charset val="1"/>
      </rPr>
      <t xml:space="preserve">(0)</t>
    </r>
  </si>
  <si>
    <t xml:space="preserve">021-0066494 / 0000145661</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</si>
  <si>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[055-0]</t>
    </r>
    <r>
      <rPr>
        <sz val="10"/>
        <rFont val="Noto Sans CJK SC"/>
        <family val="2"/>
      </rPr>
      <t xml:space="preserve">の名称「未処理」</t>
    </r>
  </si>
  <si>
    <t xml:space="preserve">既存仕様の回帰確認</t>
  </si>
  <si>
    <r>
      <rPr>
        <sz val="10"/>
        <rFont val="Noto Sans CJK SC"/>
        <family val="2"/>
      </rPr>
      <t xml:space="preserve">あり</t>
    </r>
    <r>
      <rPr>
        <sz val="10"/>
        <rFont val="MS Pゴシック"/>
        <family val="0"/>
        <charset val="1"/>
      </rPr>
      <t xml:space="preserve">(1)</t>
    </r>
  </si>
  <si>
    <t xml:space="preserve">021-0307012 / 0000145662</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</si>
  <si>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[055-0]</t>
    </r>
    <r>
      <rPr>
        <sz val="10"/>
        <rFont val="Noto Sans CJK SC"/>
        <family val="2"/>
      </rPr>
      <t xml:space="preserve">の名称「未処理」（変化なし、「失効」ではない）</t>
    </r>
  </si>
  <si>
    <r>
      <rPr>
        <sz val="10"/>
        <rFont val="Noto Sans CJK SC"/>
        <family val="2"/>
      </rPr>
      <t xml:space="preserve">★境界値：バッチ取消フラグのみが立ちホスト送信状況が</t>
    </r>
    <r>
      <rPr>
        <sz val="10"/>
        <rFont val="MS Pゴシック"/>
        <family val="0"/>
        <charset val="1"/>
      </rPr>
      <t xml:space="preserve">9</t>
    </r>
    <r>
      <rPr>
        <sz val="10"/>
        <rFont val="Noto Sans CJK SC"/>
        <family val="2"/>
      </rPr>
      <t xml:space="preserve">でない場合は「失効」としないこと</t>
    </r>
  </si>
  <si>
    <r>
      <rPr>
        <sz val="10"/>
        <rFont val="Noto Sans CJK SC"/>
        <family val="2"/>
      </rPr>
      <t xml:space="preserve">処理中</t>
    </r>
    <r>
      <rPr>
        <sz val="10"/>
        <rFont val="MS Pゴシック"/>
        <family val="0"/>
        <charset val="1"/>
      </rPr>
      <t xml:space="preserve">(1)</t>
    </r>
  </si>
  <si>
    <t xml:space="preserve">027-1041874 / 0000145673</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</si>
  <si>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[055-1]</t>
    </r>
    <r>
      <rPr>
        <sz val="10"/>
        <rFont val="Noto Sans CJK SC"/>
        <family val="2"/>
      </rPr>
      <t xml:space="preserve">の名称「処理中」</t>
    </r>
  </si>
  <si>
    <t xml:space="preserve">027-1041875 / 0000145674</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</si>
  <si>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[055-1]</t>
    </r>
    <r>
      <rPr>
        <sz val="10"/>
        <rFont val="Noto Sans CJK SC"/>
        <family val="2"/>
      </rPr>
      <t xml:space="preserve">の名称「処理中」（変化なし、「失効」ではない）</t>
    </r>
  </si>
  <si>
    <r>
      <rPr>
        <sz val="10"/>
        <rFont val="Noto Sans CJK SC"/>
        <family val="2"/>
      </rPr>
      <t xml:space="preserve">処理済</t>
    </r>
    <r>
      <rPr>
        <sz val="10"/>
        <rFont val="MS Pゴシック"/>
        <family val="0"/>
        <charset val="1"/>
      </rPr>
      <t xml:space="preserve">(2)</t>
    </r>
  </si>
  <si>
    <t xml:space="preserve">034-5200267 / 0000145731</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</si>
  <si>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[055-2]</t>
    </r>
    <r>
      <rPr>
        <sz val="10"/>
        <rFont val="Noto Sans CJK SC"/>
        <family val="2"/>
      </rPr>
      <t xml:space="preserve">の名称「処理済」</t>
    </r>
  </si>
  <si>
    <t xml:space="preserve">034-5200268 / 0000145732</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</si>
  <si>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[055-2]</t>
    </r>
    <r>
      <rPr>
        <sz val="10"/>
        <rFont val="Noto Sans CJK SC"/>
        <family val="2"/>
      </rPr>
      <t xml:space="preserve">の名称「処理済」（変化なし、「失効」ではない）</t>
    </r>
  </si>
  <si>
    <r>
      <rPr>
        <sz val="10"/>
        <rFont val="Noto Sans CJK SC"/>
        <family val="2"/>
      </rPr>
      <t xml:space="preserve">取消済</t>
    </r>
    <r>
      <rPr>
        <sz val="10"/>
        <rFont val="MS Pゴシック"/>
        <family val="0"/>
        <charset val="1"/>
      </rPr>
      <t xml:space="preserve">(9)</t>
    </r>
  </si>
  <si>
    <t xml:space="preserve">021-0307016 / 0000145682</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</si>
  <si>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[055-9]</t>
    </r>
    <r>
      <rPr>
        <sz val="10"/>
        <rFont val="Noto Sans CJK SC"/>
        <family val="2"/>
      </rPr>
      <t xml:space="preserve">相当の通常の取消済コード（「失効」ではない）</t>
    </r>
  </si>
  <si>
    <r>
      <rPr>
        <sz val="10"/>
        <rFont val="Noto Sans CJK SC"/>
        <family val="2"/>
      </rPr>
      <t xml:space="preserve">★境界値：ホスト送信状況</t>
    </r>
    <r>
      <rPr>
        <sz val="10"/>
        <rFont val="MS Pゴシック"/>
        <family val="0"/>
        <charset val="1"/>
      </rPr>
      <t xml:space="preserve">9</t>
    </r>
    <r>
      <rPr>
        <sz val="10"/>
        <rFont val="Noto Sans CJK SC"/>
        <family val="2"/>
      </rPr>
      <t xml:space="preserve">のみでフラグが立たない場合は「失効」としないこと</t>
    </r>
  </si>
  <si>
    <t xml:space="preserve">038-0012097 / 0000145743</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</si>
  <si>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[055-3]</t>
    </r>
    <r>
      <rPr>
        <sz val="10"/>
        <rFont val="Noto Sans CJK SC"/>
        <family val="2"/>
      </rPr>
      <t xml:space="preserve">の名称「失効」</t>
    </r>
  </si>
  <si>
    <r>
      <rPr>
        <sz val="10"/>
        <rFont val="Noto Sans CJK SC"/>
        <family val="2"/>
      </rPr>
      <t xml:space="preserve">★新規ロジック：</t>
    </r>
    <r>
      <rPr>
        <sz val="10"/>
        <rFont val="MS Pゴシック"/>
        <family val="0"/>
        <charset val="1"/>
      </rPr>
      <t xml:space="preserve">design doc</t>
    </r>
    <r>
      <rPr>
        <sz val="10"/>
        <rFont val="Noto Sans CJK SC"/>
        <family val="2"/>
      </rPr>
      <t xml:space="preserve">準拠（ホスト送信状況</t>
    </r>
    <r>
      <rPr>
        <sz val="10"/>
        <rFont val="MS Pゴシック"/>
        <family val="0"/>
        <charset val="1"/>
      </rPr>
      <t xml:space="preserve">9 </t>
    </r>
    <r>
      <rPr>
        <sz val="10"/>
        <rFont val="Noto Sans CJK SC"/>
        <family val="2"/>
      </rPr>
      <t xml:space="preserve">かつ バッチ取消フラグ</t>
    </r>
    <r>
      <rPr>
        <sz val="10"/>
        <rFont val="MS Pゴシック"/>
        <family val="0"/>
        <charset val="1"/>
      </rPr>
      <t xml:space="preserve">1</t>
    </r>
    <r>
      <rPr>
        <sz val="10"/>
        <rFont val="Noto Sans CJK SC"/>
        <family val="2"/>
      </rPr>
      <t xml:space="preserve">）</t>
    </r>
  </si>
  <si>
    <t xml:space="preserve">申込受付確認</t>
  </si>
  <si>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[055-0]</t>
    </r>
    <r>
      <rPr>
        <sz val="10"/>
        <rFont val="Noto Sans CJK SC"/>
        <family val="2"/>
      </rPr>
      <t xml:space="preserve">の名称「未処理」／取消ボタン：表示（ホスト送信状況が</t>
    </r>
    <r>
      <rPr>
        <sz val="10"/>
        <rFont val="MS Pゴシック"/>
        <family val="0"/>
        <charset val="1"/>
      </rPr>
      <t xml:space="preserve">0</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</si>
  <si>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[055-0]</t>
    </r>
    <r>
      <rPr>
        <sz val="10"/>
        <rFont val="Noto Sans CJK SC"/>
        <family val="2"/>
      </rPr>
      <t xml:space="preserve">の名称「未処理」（変化なし、「失効」ではない）／取消ボタン：表示（ホスト送信状況が</t>
    </r>
    <r>
      <rPr>
        <sz val="10"/>
        <rFont val="MS Pゴシック"/>
        <family val="0"/>
        <charset val="1"/>
      </rPr>
      <t xml:space="preserve">0</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</si>
  <si>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[055-1]</t>
    </r>
    <r>
      <rPr>
        <sz val="10"/>
        <rFont val="Noto Sans CJK SC"/>
        <family val="2"/>
      </rPr>
      <t xml:space="preserve">の名称「処理中」／取消ボタン：非表示（ホスト送信状況が</t>
    </r>
    <r>
      <rPr>
        <sz val="10"/>
        <rFont val="MS Pゴシック"/>
        <family val="0"/>
        <charset val="1"/>
      </rPr>
      <t xml:space="preserve">1</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</si>
  <si>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[055-1]</t>
    </r>
    <r>
      <rPr>
        <sz val="10"/>
        <rFont val="Noto Sans CJK SC"/>
        <family val="2"/>
      </rPr>
      <t xml:space="preserve">の名称「処理中」（変化なし、「失効」ではない）／取消ボタン：非表示（ホスト送信状況が</t>
    </r>
    <r>
      <rPr>
        <sz val="10"/>
        <rFont val="MS Pゴシック"/>
        <family val="0"/>
        <charset val="1"/>
      </rPr>
      <t xml:space="preserve">1</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</si>
  <si>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[055-2]</t>
    </r>
    <r>
      <rPr>
        <sz val="10"/>
        <rFont val="Noto Sans CJK SC"/>
        <family val="2"/>
      </rPr>
      <t xml:space="preserve">の名称「処理済」／取消ボタン：非表示（ホスト送信状況が</t>
    </r>
    <r>
      <rPr>
        <sz val="10"/>
        <rFont val="MS Pゴシック"/>
        <family val="0"/>
        <charset val="1"/>
      </rPr>
      <t xml:space="preserve">2</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</si>
  <si>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[055-2]</t>
    </r>
    <r>
      <rPr>
        <sz val="10"/>
        <rFont val="Noto Sans CJK SC"/>
        <family val="2"/>
      </rPr>
      <t xml:space="preserve">の名称「処理済」（変化なし、「失効」ではない）／取消ボタン：非表示（ホスト送信状況が</t>
    </r>
    <r>
      <rPr>
        <sz val="10"/>
        <rFont val="MS Pゴシック"/>
        <family val="0"/>
        <charset val="1"/>
      </rPr>
      <t xml:space="preserve">2</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</si>
  <si>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[055-9]</t>
    </r>
    <r>
      <rPr>
        <sz val="10"/>
        <rFont val="Noto Sans CJK SC"/>
        <family val="2"/>
      </rPr>
      <t xml:space="preserve">相当の通常の取消済コード（「失効」ではない）／取消ボタン：非表示（ホスト送信状況が</t>
    </r>
    <r>
      <rPr>
        <sz val="10"/>
        <rFont val="MS Pゴシック"/>
        <family val="0"/>
        <charset val="1"/>
      </rPr>
      <t xml:space="preserve">9</t>
    </r>
    <r>
      <rPr>
        <sz val="10"/>
        <rFont val="Noto Sans CJK SC"/>
        <family val="2"/>
      </rPr>
      <t xml:space="preserve">のため）</t>
    </r>
  </si>
  <si>
    <r>
      <rPr>
        <sz val="10"/>
        <rFont val="MS Pゴシック"/>
        <family val="0"/>
        <charset val="1"/>
      </rPr>
      <t xml:space="preserve">MF</t>
    </r>
    <r>
      <rPr>
        <sz val="10"/>
        <rFont val="Noto Sans CJK SC"/>
        <family val="2"/>
      </rPr>
      <t xml:space="preserve">コード</t>
    </r>
    <r>
      <rPr>
        <sz val="10"/>
        <rFont val="MS Pゴシック"/>
        <family val="0"/>
        <charset val="1"/>
      </rPr>
      <t xml:space="preserve">[055-3]</t>
    </r>
    <r>
      <rPr>
        <sz val="10"/>
        <rFont val="Noto Sans CJK SC"/>
        <family val="2"/>
      </rPr>
      <t xml:space="preserve">の名称「失効」／取消ボタン：非表示（ホスト送信状況の実値が</t>
    </r>
    <r>
      <rPr>
        <sz val="10"/>
        <rFont val="MS Pゴシック"/>
        <family val="0"/>
        <charset val="1"/>
      </rPr>
      <t xml:space="preserve">9</t>
    </r>
    <r>
      <rPr>
        <sz val="10"/>
        <rFont val="Noto Sans CJK SC"/>
        <family val="2"/>
      </rPr>
      <t xml:space="preserve">のため）</t>
    </r>
  </si>
  <si>
    <r>
      <rPr>
        <b val="true"/>
        <sz val="10"/>
        <rFont val="Noto Sans CJK SC"/>
        <family val="2"/>
      </rPr>
      <t xml:space="preserve">内訳：申込受付一覧</t>
    </r>
    <r>
      <rPr>
        <b val="true"/>
        <sz val="10"/>
        <rFont val="MS Pゴシック"/>
        <family val="0"/>
        <charset val="1"/>
      </rPr>
      <t xml:space="preserve">8</t>
    </r>
    <r>
      <rPr>
        <b val="true"/>
        <sz val="10"/>
        <rFont val="Noto Sans CJK SC"/>
        <family val="2"/>
      </rPr>
      <t xml:space="preserve">件（</t>
    </r>
    <r>
      <rPr>
        <b val="true"/>
        <sz val="10"/>
        <rFont val="MS Pゴシック"/>
        <family val="0"/>
        <charset val="1"/>
      </rPr>
      <t xml:space="preserve">No.1</t>
    </r>
    <r>
      <rPr>
        <b val="true"/>
        <sz val="10"/>
        <rFont val="Noto Sans CJK SC"/>
        <family val="2"/>
      </rPr>
      <t xml:space="preserve">〜</t>
    </r>
    <r>
      <rPr>
        <b val="true"/>
        <sz val="10"/>
        <rFont val="MS Pゴシック"/>
        <family val="0"/>
        <charset val="1"/>
      </rPr>
      <t xml:space="preserve">8</t>
    </r>
    <r>
      <rPr>
        <b val="true"/>
        <sz val="10"/>
        <rFont val="Noto Sans CJK SC"/>
        <family val="2"/>
      </rPr>
      <t xml:space="preserve">）＋申込受付確認</t>
    </r>
    <r>
      <rPr>
        <b val="true"/>
        <sz val="10"/>
        <rFont val="MS Pゴシック"/>
        <family val="0"/>
        <charset val="1"/>
      </rPr>
      <t xml:space="preserve">8</t>
    </r>
    <r>
      <rPr>
        <b val="true"/>
        <sz val="10"/>
        <rFont val="Noto Sans CJK SC"/>
        <family val="2"/>
      </rPr>
      <t xml:space="preserve">件（</t>
    </r>
    <r>
      <rPr>
        <b val="true"/>
        <sz val="10"/>
        <rFont val="MS Pゴシック"/>
        <family val="0"/>
        <charset val="1"/>
      </rPr>
      <t xml:space="preserve">No.9</t>
    </r>
    <r>
      <rPr>
        <b val="true"/>
        <sz val="10"/>
        <rFont val="Noto Sans CJK SC"/>
        <family val="2"/>
      </rPr>
      <t xml:space="preserve">〜</t>
    </r>
    <r>
      <rPr>
        <b val="true"/>
        <sz val="10"/>
        <rFont val="MS Pゴシック"/>
        <family val="0"/>
        <charset val="1"/>
      </rPr>
      <t xml:space="preserve">16</t>
    </r>
    <r>
      <rPr>
        <b val="true"/>
        <sz val="10"/>
        <rFont val="Noto Sans CJK SC"/>
        <family val="2"/>
      </rPr>
      <t xml:space="preserve">）＝計</t>
    </r>
    <r>
      <rPr>
        <b val="true"/>
        <sz val="10"/>
        <rFont val="MS Pゴシック"/>
        <family val="0"/>
        <charset val="1"/>
      </rPr>
      <t xml:space="preserve">16</t>
    </r>
    <r>
      <rPr>
        <b val="true"/>
        <sz val="10"/>
        <rFont val="Noto Sans CJK SC"/>
        <family val="2"/>
      </rPr>
      <t xml:space="preserve">件</t>
    </r>
  </si>
  <si>
    <r>
      <rPr>
        <sz val="10"/>
        <rFont val="Noto Sans CJK SC"/>
        <family val="2"/>
      </rPr>
      <t xml:space="preserve">うち★緑色＝</t>
    </r>
    <r>
      <rPr>
        <sz val="10"/>
        <rFont val="MS Pゴシック"/>
        <family val="0"/>
        <charset val="1"/>
      </rPr>
      <t xml:space="preserve">10</t>
    </r>
    <r>
      <rPr>
        <sz val="10"/>
        <rFont val="Noto Sans CJK SC"/>
        <family val="2"/>
      </rPr>
      <t xml:space="preserve">件が設計書精読で新規検出した観点（本命ロジック</t>
    </r>
    <r>
      <rPr>
        <sz val="10"/>
        <rFont val="MS Pゴシック"/>
        <family val="0"/>
        <charset val="1"/>
      </rPr>
      <t xml:space="preserve">2</t>
    </r>
    <r>
      <rPr>
        <sz val="10"/>
        <rFont val="Noto Sans CJK SC"/>
        <family val="2"/>
      </rPr>
      <t xml:space="preserve">件＋境界値</t>
    </r>
    <r>
      <rPr>
        <sz val="10"/>
        <rFont val="MS Pゴシック"/>
        <family val="0"/>
        <charset val="1"/>
      </rPr>
      <t xml:space="preserve">8</t>
    </r>
    <r>
      <rPr>
        <sz val="10"/>
        <rFont val="Noto Sans CJK SC"/>
        <family val="2"/>
      </rPr>
      <t xml:space="preserve">件）、残り</t>
    </r>
    <r>
      <rPr>
        <sz val="10"/>
        <rFont val="MS Pゴシック"/>
        <family val="0"/>
        <charset val="1"/>
      </rPr>
      <t xml:space="preserve">6</t>
    </r>
    <r>
      <rPr>
        <sz val="10"/>
        <rFont val="Noto Sans CJK SC"/>
        <family val="2"/>
      </rPr>
      <t xml:space="preserve">件は既存仕様の回帰確認</t>
    </r>
  </si>
  <si>
    <r>
      <rPr>
        <b val="true"/>
        <sz val="16"/>
        <rFont val="MS Pゴシック"/>
        <family val="0"/>
        <charset val="1"/>
      </rPr>
      <t xml:space="preserve">②-1 </t>
    </r>
    <r>
      <rPr>
        <b val="true"/>
        <sz val="16"/>
        <rFont val="Noto Sans CJK SC"/>
        <family val="2"/>
      </rPr>
      <t xml:space="preserve">十分性の検証方法　―　要件定義書トレーサビリティ</t>
    </r>
  </si>
  <si>
    <r>
      <rPr>
        <sz val="10"/>
        <rFont val="Noto Sans CJK SC"/>
        <family val="2"/>
      </rPr>
      <t xml:space="preserve">「設計書との比較に基づくカバレッジの数値・一覧」のみでは不十分との指摘を踏まえ、要件定義書「</t>
    </r>
    <r>
      <rPr>
        <sz val="10"/>
        <rFont val="MS Pゴシック"/>
        <family val="0"/>
        <charset val="1"/>
      </rPr>
      <t xml:space="preserve">11.1.1</t>
    </r>
    <r>
      <rPr>
        <sz val="10"/>
        <rFont val="Noto Sans CJK SC"/>
        <family val="2"/>
      </rPr>
      <t xml:space="preserve">．システム機能概要」に記載された対応内容と、実際に作成したテストケースを</t>
    </r>
    <r>
      <rPr>
        <sz val="10"/>
        <rFont val="MS Pゴシック"/>
        <family val="0"/>
        <charset val="1"/>
      </rPr>
      <t xml:space="preserve">1</t>
    </r>
    <r>
      <rPr>
        <sz val="10"/>
        <rFont val="Noto Sans CJK SC"/>
        <family val="2"/>
      </rPr>
      <t xml:space="preserve">行ずつ突合し、要件定義書レベルで見た時のカバー漏れがないかを確認した。
※画面ごとの対象範囲の全体像は「対象範囲サマリー」シートを参照。</t>
    </r>
  </si>
  <si>
    <t xml:space="preserve">要件定義書 対応内容（投信残高注文に関連する範囲）</t>
  </si>
  <si>
    <t xml:space="preserve">根拠資料</t>
  </si>
  <si>
    <t xml:space="preserve">対応テストケース</t>
  </si>
  <si>
    <t xml:space="preserve">カバー状況</t>
  </si>
  <si>
    <r>
      <rPr>
        <sz val="10"/>
        <rFont val="Noto Sans CJK SC"/>
        <family val="2"/>
      </rPr>
      <t xml:space="preserve">非課税口座に紐づく先日付</t>
    </r>
    <r>
      <rPr>
        <sz val="10"/>
        <rFont val="MS Pゴシック"/>
        <family val="0"/>
        <charset val="1"/>
      </rPr>
      <t xml:space="preserve">NISA</t>
    </r>
    <r>
      <rPr>
        <sz val="10"/>
        <rFont val="Noto Sans CJK SC"/>
        <family val="2"/>
      </rPr>
      <t xml:space="preserve">注文が存在する場合、注文が存在している旨のメッセージを表示する（本部検印・営業店検印）</t>
    </r>
  </si>
  <si>
    <r>
      <rPr>
        <sz val="10"/>
        <rFont val="Noto Sans CJK SC"/>
        <family val="2"/>
      </rPr>
      <t xml:space="preserve">要件定義書</t>
    </r>
    <r>
      <rPr>
        <sz val="10"/>
        <rFont val="MS Pゴシック"/>
        <family val="0"/>
        <charset val="1"/>
      </rPr>
      <t xml:space="preserve">11.1.1 </t>
    </r>
    <r>
      <rPr>
        <sz val="10"/>
        <rFont val="Noto Sans CJK SC"/>
        <family val="2"/>
      </rPr>
      <t xml:space="preserve">対応事項①</t>
    </r>
  </si>
  <si>
    <t xml:space="preserve">対象外（本部検印・営業店検印は別画面のため今回の題材範囲外）</t>
  </si>
  <si>
    <t xml:space="preserve">△ 範囲外（次段階の課題）</t>
  </si>
  <si>
    <t xml:space="preserve">非課税口座開設を却下した場合、却下した非課税口座を未開設状態とする</t>
  </si>
  <si>
    <r>
      <rPr>
        <sz val="10"/>
        <rFont val="Noto Sans CJK SC"/>
        <family val="2"/>
      </rPr>
      <t xml:space="preserve">要件定義書</t>
    </r>
    <r>
      <rPr>
        <sz val="10"/>
        <rFont val="MS Pゴシック"/>
        <family val="0"/>
        <charset val="1"/>
      </rPr>
      <t xml:space="preserve">11.1.1 </t>
    </r>
    <r>
      <rPr>
        <sz val="10"/>
        <rFont val="Noto Sans CJK SC"/>
        <family val="2"/>
      </rPr>
      <t xml:space="preserve">対応事項②</t>
    </r>
  </si>
  <si>
    <t xml:space="preserve">対象外（口座開設バッチ自体のロジックは今回の題材範囲外）</t>
  </si>
  <si>
    <r>
      <rPr>
        <sz val="10"/>
        <rFont val="Noto Sans CJK SC"/>
        <family val="2"/>
      </rPr>
      <t xml:space="preserve">夜間バッチで</t>
    </r>
    <r>
      <rPr>
        <sz val="10"/>
        <rFont val="MS Pゴシック"/>
        <family val="0"/>
        <charset val="1"/>
      </rPr>
      <t xml:space="preserve">MF</t>
    </r>
    <r>
      <rPr>
        <sz val="10"/>
        <rFont val="Noto Sans CJK SC"/>
        <family val="2"/>
      </rPr>
      <t xml:space="preserve">システムから非課税口座データが連携されない場合、当該非課税口座を未開設状態とし、紐づく先日付</t>
    </r>
    <r>
      <rPr>
        <sz val="10"/>
        <rFont val="MS Pゴシック"/>
        <family val="0"/>
        <charset val="1"/>
      </rPr>
      <t xml:space="preserve">NISA</t>
    </r>
    <r>
      <rPr>
        <sz val="10"/>
        <rFont val="Noto Sans CJK SC"/>
        <family val="2"/>
      </rPr>
      <t xml:space="preserve">注文の取消を行う</t>
    </r>
  </si>
  <si>
    <r>
      <rPr>
        <sz val="10"/>
        <rFont val="MS Pゴシック"/>
        <family val="0"/>
        <charset val="1"/>
      </rPr>
      <t xml:space="preserve">No.2,4,6,7,8</t>
    </r>
    <r>
      <rPr>
        <sz val="10"/>
        <rFont val="Noto Sans CJK SC"/>
        <family val="2"/>
      </rPr>
      <t xml:space="preserve">／</t>
    </r>
    <r>
      <rPr>
        <sz val="10"/>
        <rFont val="MS Pゴシック"/>
        <family val="0"/>
        <charset val="1"/>
      </rPr>
      <t xml:space="preserve">No.10,12,14,15,16</t>
    </r>
  </si>
  <si>
    <t xml:space="preserve">○ カバー済</t>
  </si>
  <si>
    <r>
      <rPr>
        <sz val="10"/>
        <rFont val="Noto Sans CJK SC"/>
        <family val="2"/>
      </rPr>
      <t xml:space="preserve">夜間バッチ処理後の先日付</t>
    </r>
    <r>
      <rPr>
        <sz val="10"/>
        <rFont val="MS Pゴシック"/>
        <family val="0"/>
        <charset val="1"/>
      </rPr>
      <t xml:space="preserve">NISA</t>
    </r>
    <r>
      <rPr>
        <sz val="10"/>
        <rFont val="Noto Sans CJK SC"/>
        <family val="2"/>
      </rPr>
      <t xml:space="preserve">注文状況を、投信残高注文（申込受付一覧）にて表示する</t>
    </r>
  </si>
  <si>
    <r>
      <rPr>
        <sz val="10"/>
        <rFont val="Noto Sans CJK SC"/>
        <family val="2"/>
      </rPr>
      <t xml:space="preserve">要件定義書</t>
    </r>
    <r>
      <rPr>
        <sz val="10"/>
        <rFont val="MS Pゴシック"/>
        <family val="0"/>
        <charset val="1"/>
      </rPr>
      <t xml:space="preserve">11.1.1 </t>
    </r>
    <r>
      <rPr>
        <sz val="10"/>
        <rFont val="Noto Sans CJK SC"/>
        <family val="2"/>
      </rPr>
      <t xml:space="preserve">対応事項③、画面一覧</t>
    </r>
    <r>
      <rPr>
        <sz val="10"/>
        <rFont val="MS Pゴシック"/>
        <family val="0"/>
        <charset val="1"/>
      </rPr>
      <t xml:space="preserve">11.2.1</t>
    </r>
  </si>
  <si>
    <r>
      <rPr>
        <sz val="10"/>
        <rFont val="MS Pゴシック"/>
        <family val="0"/>
        <charset val="1"/>
      </rPr>
      <t xml:space="preserve">No.1</t>
    </r>
    <r>
      <rPr>
        <sz val="10"/>
        <rFont val="Noto Sans CJK SC"/>
        <family val="2"/>
      </rPr>
      <t xml:space="preserve">〜</t>
    </r>
    <r>
      <rPr>
        <sz val="10"/>
        <rFont val="MS Pゴシック"/>
        <family val="0"/>
        <charset val="1"/>
      </rPr>
      <t xml:space="preserve">8</t>
    </r>
    <r>
      <rPr>
        <sz val="10"/>
        <rFont val="Noto Sans CJK SC"/>
        <family val="2"/>
      </rPr>
      <t xml:space="preserve">（申込受付一覧）</t>
    </r>
  </si>
  <si>
    <t xml:space="preserve">同状況を申込受付確認画面（一覧の確認ボタン押下後）でも整合して表示する</t>
  </si>
  <si>
    <r>
      <rPr>
        <sz val="10"/>
        <rFont val="Noto Sans CJK SC"/>
        <family val="2"/>
      </rPr>
      <t xml:space="preserve">機能設計書 画面項目</t>
    </r>
    <r>
      <rPr>
        <sz val="10"/>
        <rFont val="MS Pゴシック"/>
        <family val="0"/>
        <charset val="1"/>
      </rPr>
      <t xml:space="preserve">21-2</t>
    </r>
  </si>
  <si>
    <r>
      <rPr>
        <sz val="10"/>
        <rFont val="MS Pゴシック"/>
        <family val="0"/>
        <charset val="1"/>
      </rPr>
      <t xml:space="preserve">No.9</t>
    </r>
    <r>
      <rPr>
        <sz val="10"/>
        <rFont val="Noto Sans CJK SC"/>
        <family val="2"/>
      </rPr>
      <t xml:space="preserve">〜</t>
    </r>
    <r>
      <rPr>
        <sz val="10"/>
        <rFont val="MS Pゴシック"/>
        <family val="0"/>
        <charset val="1"/>
      </rPr>
      <t xml:space="preserve">16</t>
    </r>
    <r>
      <rPr>
        <sz val="10"/>
        <rFont val="Noto Sans CJK SC"/>
        <family val="2"/>
      </rPr>
      <t xml:space="preserve">（申込受付確認）</t>
    </r>
  </si>
  <si>
    <r>
      <rPr>
        <sz val="10"/>
        <rFont val="Noto Sans CJK SC"/>
        <family val="2"/>
      </rPr>
      <t xml:space="preserve">確認画面における取消ボタンの表示制御（ホスト送信状況が</t>
    </r>
    <r>
      <rPr>
        <sz val="10"/>
        <rFont val="MS Pゴシック"/>
        <family val="0"/>
        <charset val="1"/>
      </rPr>
      <t xml:space="preserve">1/2/9</t>
    </r>
    <r>
      <rPr>
        <sz val="10"/>
        <rFont val="Noto Sans CJK SC"/>
        <family val="2"/>
      </rPr>
      <t xml:space="preserve">の場合は非表示）</t>
    </r>
  </si>
  <si>
    <r>
      <rPr>
        <sz val="10"/>
        <rFont val="Noto Sans CJK SC"/>
        <family val="2"/>
      </rPr>
      <t xml:space="preserve">機能設計書 画面項目</t>
    </r>
    <r>
      <rPr>
        <sz val="10"/>
        <rFont val="MS Pゴシック"/>
        <family val="0"/>
        <charset val="1"/>
      </rPr>
      <t xml:space="preserve">13</t>
    </r>
  </si>
  <si>
    <r>
      <rPr>
        <sz val="10"/>
        <rFont val="MS Pゴシック"/>
        <family val="0"/>
        <charset val="1"/>
      </rPr>
      <t xml:space="preserve">No.9</t>
    </r>
    <r>
      <rPr>
        <sz val="10"/>
        <rFont val="Noto Sans CJK SC"/>
        <family val="2"/>
      </rPr>
      <t xml:space="preserve">〜</t>
    </r>
    <r>
      <rPr>
        <sz val="10"/>
        <rFont val="MS Pゴシック"/>
        <family val="0"/>
        <charset val="1"/>
      </rPr>
      <t xml:space="preserve">16</t>
    </r>
    <r>
      <rPr>
        <sz val="10"/>
        <rFont val="Noto Sans CJK SC"/>
        <family val="2"/>
      </rPr>
      <t xml:space="preserve">（申込受付確認、取消ボタン列）</t>
    </r>
  </si>
  <si>
    <r>
      <rPr>
        <b val="true"/>
        <sz val="10"/>
        <rFont val="Noto Sans CJK SC"/>
        <family val="2"/>
      </rPr>
      <t xml:space="preserve">結論：投信残高注文画面が直接担う</t>
    </r>
    <r>
      <rPr>
        <b val="true"/>
        <sz val="10"/>
        <rFont val="MS Pゴシック"/>
        <family val="0"/>
        <charset val="1"/>
      </rPr>
      <t xml:space="preserve">4</t>
    </r>
    <r>
      <rPr>
        <b val="true"/>
        <sz val="10"/>
        <rFont val="Noto Sans CJK SC"/>
        <family val="2"/>
      </rPr>
      <t xml:space="preserve">項目はすべてテストケースでカバー済み。本部検印／営業店検印、口座開設バッチ自体のロジックは別画面のため本題材の範囲外とし、他機能への展開時に同様のトレーサビリティ確認を行う対象として明記した。</t>
    </r>
  </si>
  <si>
    <r>
      <rPr>
        <b val="true"/>
        <sz val="16"/>
        <rFont val="MS Pゴシック"/>
        <family val="0"/>
        <charset val="1"/>
      </rPr>
      <t xml:space="preserve">②-2 </t>
    </r>
    <r>
      <rPr>
        <b val="true"/>
        <sz val="16"/>
        <rFont val="Noto Sans CJK SC"/>
        <family val="2"/>
      </rPr>
      <t xml:space="preserve">十分性の検証方法　―　</t>
    </r>
    <r>
      <rPr>
        <b val="true"/>
        <sz val="16"/>
        <rFont val="MS Pゴシック"/>
        <family val="0"/>
        <charset val="1"/>
      </rPr>
      <t xml:space="preserve">3</t>
    </r>
    <r>
      <rPr>
        <b val="true"/>
        <sz val="16"/>
        <rFont val="Noto Sans CJK SC"/>
        <family val="2"/>
      </rPr>
      <t xml:space="preserve">段階検出プロセスの比較</t>
    </r>
  </si>
  <si>
    <r>
      <rPr>
        <sz val="10"/>
        <rFont val="Noto Sans CJK SC"/>
        <family val="2"/>
      </rPr>
      <t xml:space="preserve">カバレッジ数値だけでは「設計書に記載されていない観点を検出できたか」は測れない。そこで投信残高注文画面を題材に、</t>
    </r>
    <r>
      <rPr>
        <sz val="10"/>
        <rFont val="MS Pゴシック"/>
        <family val="0"/>
        <charset val="1"/>
      </rPr>
      <t xml:space="preserve">AI</t>
    </r>
    <r>
      <rPr>
        <sz val="10"/>
        <rFont val="Noto Sans CJK SC"/>
        <family val="2"/>
      </rPr>
      <t xml:space="preserve">生成→人的レビュー→設計書精読 の</t>
    </r>
    <r>
      <rPr>
        <sz val="10"/>
        <rFont val="MS Pゴシック"/>
        <family val="0"/>
        <charset val="1"/>
      </rPr>
      <t xml:space="preserve">3</t>
    </r>
    <r>
      <rPr>
        <sz val="10"/>
        <rFont val="Noto Sans CJK SC"/>
        <family val="2"/>
      </rPr>
      <t xml:space="preserve">段階それぞれで何を検出でき、何を検出できなかったかを具体的に突合した。</t>
    </r>
  </si>
  <si>
    <t xml:space="preserve">段階</t>
  </si>
  <si>
    <t xml:space="preserve">実施者／手法</t>
  </si>
  <si>
    <t xml:space="preserve">検出できた観点</t>
  </si>
  <si>
    <t xml:space="preserve">検出できなかった観点</t>
  </si>
  <si>
    <t xml:space="preserve">結果</t>
  </si>
  <si>
    <r>
      <rPr>
        <sz val="10"/>
        <rFont val="MS Pゴシック"/>
        <family val="0"/>
        <charset val="1"/>
      </rPr>
      <t xml:space="preserve">①AI</t>
    </r>
    <r>
      <rPr>
        <sz val="10"/>
        <rFont val="Noto Sans CJK SC"/>
        <family val="2"/>
      </rPr>
      <t xml:space="preserve">ツールによる自動生成</t>
    </r>
  </si>
  <si>
    <r>
      <rPr>
        <sz val="10"/>
        <rFont val="MS Pゴシック"/>
        <family val="0"/>
        <charset val="1"/>
      </rPr>
      <t xml:space="preserve">DAT Copilot Bridge</t>
    </r>
    <r>
      <rPr>
        <sz val="10"/>
        <rFont val="Noto Sans CJK SC"/>
        <family val="2"/>
      </rPr>
      <t xml:space="preserve">（設計書との比較に基づくカバレッジエンジン）</t>
    </r>
  </si>
  <si>
    <r>
      <rPr>
        <sz val="10"/>
        <rFont val="Noto Sans CJK SC"/>
        <family val="2"/>
      </rPr>
      <t xml:space="preserve">・会社条件</t>
    </r>
    <r>
      <rPr>
        <sz val="10"/>
        <rFont val="MS Pゴシック"/>
        <family val="0"/>
        <charset val="1"/>
      </rPr>
      <t xml:space="preserve">371/393</t>
    </r>
    <r>
      <rPr>
        <sz val="10"/>
        <rFont val="Noto Sans CJK SC"/>
        <family val="2"/>
      </rPr>
      <t xml:space="preserve">の組合せパターン
・標準的な入力検証エラー（エラーコード</t>
    </r>
    <r>
      <rPr>
        <sz val="10"/>
        <rFont val="MS Pゴシック"/>
        <family val="0"/>
        <charset val="1"/>
      </rPr>
      <t xml:space="preserve">14840/14850/13220/13170</t>
    </r>
    <r>
      <rPr>
        <sz val="10"/>
        <rFont val="Noto Sans CJK SC"/>
        <family val="2"/>
      </rPr>
      <t xml:space="preserve">）</t>
    </r>
  </si>
  <si>
    <r>
      <rPr>
        <sz val="10"/>
        <rFont val="Noto Sans CJK SC"/>
        <family val="2"/>
      </rPr>
      <t xml:space="preserve">・</t>
    </r>
    <r>
      <rPr>
        <sz val="10"/>
        <rFont val="MS Pゴシック"/>
        <family val="0"/>
        <charset val="1"/>
      </rPr>
      <t xml:space="preserve">TF</t>
    </r>
    <r>
      <rPr>
        <sz val="10"/>
        <rFont val="Noto Sans CJK SC"/>
        <family val="2"/>
      </rPr>
      <t xml:space="preserve">伝票管理テーブルの新規カラム「バッチ取消フラグ」の存在自体
・「ホスト送信状況</t>
    </r>
    <r>
      <rPr>
        <sz val="10"/>
        <rFont val="MS Pゴシック"/>
        <family val="0"/>
        <charset val="1"/>
      </rPr>
      <t xml:space="preserve">9 </t>
    </r>
    <r>
      <rPr>
        <sz val="10"/>
        <rFont val="Noto Sans CJK SC"/>
        <family val="2"/>
      </rPr>
      <t xml:space="preserve">かつ バッチ取消フラグ</t>
    </r>
    <r>
      <rPr>
        <sz val="10"/>
        <rFont val="MS Pゴシック"/>
        <family val="0"/>
        <charset val="1"/>
      </rPr>
      <t xml:space="preserve">1→</t>
    </r>
    <r>
      <rPr>
        <sz val="10"/>
        <rFont val="Noto Sans CJK SC"/>
        <family val="2"/>
      </rPr>
      <t xml:space="preserve">失効表示」という</t>
    </r>
    <r>
      <rPr>
        <sz val="10"/>
        <rFont val="MS Pゴシック"/>
        <family val="0"/>
        <charset val="1"/>
      </rPr>
      <t xml:space="preserve">AND</t>
    </r>
    <r>
      <rPr>
        <sz val="10"/>
        <rFont val="Noto Sans CJK SC"/>
        <family val="2"/>
      </rPr>
      <t xml:space="preserve">条件ロジック
・申込受付確認画面の取消ボタン表示制御条件</t>
    </r>
  </si>
  <si>
    <r>
      <rPr>
        <sz val="10"/>
        <rFont val="Noto Sans CJK SC"/>
        <family val="2"/>
      </rPr>
      <t xml:space="preserve">△ 主要機能はカバーしたが新規仕様変更（案件</t>
    </r>
    <r>
      <rPr>
        <sz val="10"/>
        <rFont val="MS Pゴシック"/>
        <family val="0"/>
        <charset val="1"/>
      </rPr>
      <t xml:space="preserve">1158</t>
    </r>
    <r>
      <rPr>
        <sz val="10"/>
        <rFont val="Noto Sans CJK SC"/>
        <family val="2"/>
      </rPr>
      <t xml:space="preserve">固有ロジック）は未検出</t>
    </r>
  </si>
  <si>
    <r>
      <rPr>
        <sz val="10"/>
        <rFont val="MS Pゴシック"/>
        <family val="0"/>
        <charset val="1"/>
      </rPr>
      <t xml:space="preserve">②DAT</t>
    </r>
    <r>
      <rPr>
        <sz val="10"/>
        <rFont val="Noto Sans CJK SC"/>
        <family val="2"/>
      </rPr>
      <t xml:space="preserve">による人的レビュー</t>
    </r>
  </si>
  <si>
    <r>
      <rPr>
        <sz val="10"/>
        <rFont val="MS Pゴシック"/>
        <family val="0"/>
        <charset val="1"/>
      </rPr>
      <t xml:space="preserve">AI</t>
    </r>
    <r>
      <rPr>
        <sz val="10"/>
        <rFont val="Noto Sans CJK SC"/>
        <family val="2"/>
      </rPr>
      <t xml:space="preserve">生成版テストケースを担当者がレビューし、期待結果・前提条件を修正</t>
    </r>
  </si>
  <si>
    <r>
      <rPr>
        <sz val="10"/>
        <rFont val="Noto Sans CJK SC"/>
        <family val="2"/>
      </rPr>
      <t xml:space="preserve">・関連画面（定時定額条件登録）での期待結果の誤り（エラー判定漏れ）
・会社条件</t>
    </r>
    <r>
      <rPr>
        <sz val="10"/>
        <rFont val="MS Pゴシック"/>
        <family val="0"/>
        <charset val="1"/>
      </rPr>
      <t xml:space="preserve">[318]</t>
    </r>
    <r>
      <rPr>
        <sz val="10"/>
        <rFont val="Noto Sans CJK SC"/>
        <family val="2"/>
      </rPr>
      <t xml:space="preserve">簡易開設利用可否の欠落</t>
    </r>
  </si>
  <si>
    <t xml:space="preserve">・投信残高注文画面のバッチ取消フラグロジックは、この段階でもレビュー対象に含まれておらず未検出</t>
  </si>
  <si>
    <t xml:space="preserve">△ 既存ロジックの精度は向上したが、新規ロジックの見落としは継続</t>
  </si>
  <si>
    <t xml:space="preserve">③設計書精読（今回実施）</t>
  </si>
  <si>
    <r>
      <rPr>
        <sz val="10"/>
        <rFont val="Noto Sans CJK SC"/>
        <family val="2"/>
      </rPr>
      <t xml:space="preserve">機能設計書（画面項目</t>
    </r>
    <r>
      <rPr>
        <sz val="10"/>
        <rFont val="MS Pゴシック"/>
        <family val="0"/>
        <charset val="1"/>
      </rPr>
      <t xml:space="preserve">13</t>
    </r>
    <r>
      <rPr>
        <sz val="10"/>
        <rFont val="Noto Sans CJK SC"/>
        <family val="2"/>
      </rPr>
      <t xml:space="preserve">／</t>
    </r>
    <r>
      <rPr>
        <sz val="10"/>
        <rFont val="MS Pゴシック"/>
        <family val="0"/>
        <charset val="1"/>
      </rPr>
      <t xml:space="preserve">14-2</t>
    </r>
    <r>
      <rPr>
        <sz val="10"/>
        <rFont val="Noto Sans CJK SC"/>
        <family val="2"/>
      </rPr>
      <t xml:space="preserve">／</t>
    </r>
    <r>
      <rPr>
        <sz val="10"/>
        <rFont val="MS Pゴシック"/>
        <family val="0"/>
        <charset val="1"/>
      </rPr>
      <t xml:space="preserve">21-2</t>
    </r>
    <r>
      <rPr>
        <sz val="10"/>
        <rFont val="Noto Sans CJK SC"/>
        <family val="2"/>
      </rPr>
      <t xml:space="preserve">）・</t>
    </r>
    <r>
      <rPr>
        <sz val="10"/>
        <rFont val="MS Pゴシック"/>
        <family val="0"/>
        <charset val="1"/>
      </rPr>
      <t xml:space="preserve">DB</t>
    </r>
    <r>
      <rPr>
        <sz val="10"/>
        <rFont val="Noto Sans CJK SC"/>
        <family val="2"/>
      </rPr>
      <t xml:space="preserve">リレーション・変更履歴を</t>
    </r>
    <r>
      <rPr>
        <sz val="10"/>
        <rFont val="MS Pゴシック"/>
        <family val="0"/>
        <charset val="1"/>
      </rPr>
      <t xml:space="preserve">1</t>
    </r>
    <r>
      <rPr>
        <sz val="10"/>
        <rFont val="Noto Sans CJK SC"/>
        <family val="2"/>
      </rPr>
      <t xml:space="preserve">行単位で読解し、要件定義書とも突合</t>
    </r>
  </si>
  <si>
    <r>
      <rPr>
        <sz val="10"/>
        <rFont val="Noto Sans CJK SC"/>
        <family val="2"/>
      </rPr>
      <t xml:space="preserve">・「バッチ取消フラグ」カラムと</t>
    </r>
    <r>
      <rPr>
        <sz val="10"/>
        <rFont val="MS Pゴシック"/>
        <family val="0"/>
        <charset val="1"/>
      </rPr>
      <t xml:space="preserve">MF</t>
    </r>
    <r>
      <rPr>
        <sz val="10"/>
        <rFont val="Noto Sans CJK SC"/>
        <family val="2"/>
      </rPr>
      <t xml:space="preserve">コード</t>
    </r>
    <r>
      <rPr>
        <sz val="10"/>
        <rFont val="MS Pゴシック"/>
        <family val="0"/>
        <charset val="1"/>
      </rPr>
      <t xml:space="preserve">[055-3]</t>
    </r>
    <r>
      <rPr>
        <sz val="10"/>
        <rFont val="Noto Sans CJK SC"/>
        <family val="2"/>
      </rPr>
      <t xml:space="preserve">「失効」表示ロジックを検出
・取消ボタンの表示制御条件（機能設計書</t>
    </r>
    <r>
      <rPr>
        <sz val="10"/>
        <rFont val="MS Pゴシック"/>
        <family val="0"/>
        <charset val="1"/>
      </rPr>
      <t xml:space="preserve">13</t>
    </r>
    <r>
      <rPr>
        <sz val="10"/>
        <rFont val="Noto Sans CJK SC"/>
        <family val="2"/>
      </rPr>
      <t xml:space="preserve">）を検出
・先日付</t>
    </r>
    <r>
      <rPr>
        <sz val="10"/>
        <rFont val="MS Pゴシック"/>
        <family val="0"/>
        <charset val="1"/>
      </rPr>
      <t xml:space="preserve">NISA</t>
    </r>
    <r>
      <rPr>
        <sz val="10"/>
        <rFont val="Noto Sans CJK SC"/>
        <family val="2"/>
      </rPr>
      <t xml:space="preserve">注文（会社条件</t>
    </r>
    <r>
      <rPr>
        <sz val="10"/>
        <rFont val="MS Pゴシック"/>
        <family val="0"/>
        <charset val="1"/>
      </rPr>
      <t xml:space="preserve">393</t>
    </r>
    <r>
      <rPr>
        <sz val="10"/>
        <rFont val="Noto Sans CJK SC"/>
        <family val="2"/>
      </rPr>
      <t xml:space="preserve">）が本ロジックの前提条件であることを特定し、テストデータに反映
・境界値</t>
    </r>
    <r>
      <rPr>
        <sz val="10"/>
        <rFont val="MS Pゴシック"/>
        <family val="0"/>
        <charset val="1"/>
      </rPr>
      <t xml:space="preserve">2</t>
    </r>
    <r>
      <rPr>
        <sz val="10"/>
        <rFont val="Noto Sans CJK SC"/>
        <family val="2"/>
      </rPr>
      <t xml:space="preserve">パターン（フラグのみ／ホスト送信状況のみ）を含む</t>
    </r>
    <r>
      <rPr>
        <sz val="10"/>
        <rFont val="MS Pゴシック"/>
        <family val="0"/>
        <charset val="1"/>
      </rPr>
      <t xml:space="preserve">8</t>
    </r>
    <r>
      <rPr>
        <sz val="10"/>
        <rFont val="Noto Sans CJK SC"/>
        <family val="2"/>
      </rPr>
      <t xml:space="preserve">パターンを体系的にテストケース化</t>
    </r>
  </si>
  <si>
    <r>
      <rPr>
        <sz val="10"/>
        <rFont val="Noto Sans CJK SC"/>
        <family val="2"/>
      </rPr>
      <t xml:space="preserve">特になし（要件定義書トレーサビリティで確認済み、②</t>
    </r>
    <r>
      <rPr>
        <sz val="10"/>
        <rFont val="MS Pゴシック"/>
        <family val="0"/>
        <charset val="1"/>
      </rPr>
      <t xml:space="preserve">-1</t>
    </r>
    <r>
      <rPr>
        <sz val="10"/>
        <rFont val="Noto Sans CJK SC"/>
        <family val="2"/>
      </rPr>
      <t xml:space="preserve">参照）</t>
    </r>
  </si>
  <si>
    <t xml:space="preserve">○ 新規ロジックをすべて検出・カバー</t>
  </si>
  <si>
    <t xml:space="preserve">①→②→③の検出観点数の推移</t>
  </si>
  <si>
    <t xml:space="preserve">累積で検出済みの観点数（概算）</t>
  </si>
  <si>
    <t xml:space="preserve">新規に追加検出した観点数</t>
  </si>
  <si>
    <r>
      <rPr>
        <sz val="10"/>
        <rFont val="MS Pゴシック"/>
        <family val="0"/>
        <charset val="1"/>
      </rPr>
      <t xml:space="preserve">①AI</t>
    </r>
    <r>
      <rPr>
        <sz val="10"/>
        <rFont val="Noto Sans CJK SC"/>
        <family val="2"/>
      </rPr>
      <t xml:space="preserve">生成</t>
    </r>
  </si>
  <si>
    <t xml:space="preserve">②人的レビュー後</t>
  </si>
  <si>
    <r>
      <rPr>
        <sz val="10"/>
        <rFont val="Noto Sans CJK SC"/>
        <family val="2"/>
      </rPr>
      <t xml:space="preserve">本画面に関しては追加検出なし（他画面では</t>
    </r>
    <r>
      <rPr>
        <sz val="10"/>
        <rFont val="MS Pゴシック"/>
        <family val="0"/>
        <charset val="1"/>
      </rPr>
      <t xml:space="preserve">2</t>
    </r>
    <r>
      <rPr>
        <sz val="10"/>
        <rFont val="Noto Sans CJK SC"/>
        <family val="2"/>
      </rPr>
      <t xml:space="preserve">件検出）</t>
    </r>
  </si>
  <si>
    <t xml:space="preserve">③設計書精読後</t>
  </si>
  <si>
    <r>
      <rPr>
        <b val="true"/>
        <sz val="10"/>
        <rFont val="Noto Sans CJK SC"/>
        <family val="2"/>
      </rPr>
      <t xml:space="preserve">結論：</t>
    </r>
    <r>
      <rPr>
        <b val="true"/>
        <sz val="10"/>
        <rFont val="MS Pゴシック"/>
        <family val="0"/>
        <charset val="1"/>
      </rPr>
      <t xml:space="preserve">AI</t>
    </r>
    <r>
      <rPr>
        <b val="true"/>
        <sz val="10"/>
        <rFont val="Noto Sans CJK SC"/>
        <family val="2"/>
      </rPr>
      <t xml:space="preserve">生成・人的レビューという</t>
    </r>
    <r>
      <rPr>
        <b val="true"/>
        <sz val="10"/>
        <rFont val="MS Pゴシック"/>
        <family val="0"/>
        <charset val="1"/>
      </rPr>
      <t xml:space="preserve">2</t>
    </r>
    <r>
      <rPr>
        <b val="true"/>
        <sz val="10"/>
        <rFont val="Noto Sans CJK SC"/>
        <family val="2"/>
      </rPr>
      <t xml:space="preserve">段階だけでは、案件固有の新規ロジック（バッチ取消フラグ）を検出できなかった。設計書の要件定義書レベルでの精読・突合を追加の第</t>
    </r>
    <r>
      <rPr>
        <b val="true"/>
        <sz val="10"/>
        <rFont val="MS Pゴシック"/>
        <family val="0"/>
        <charset val="1"/>
      </rPr>
      <t xml:space="preserve">3</t>
    </r>
    <r>
      <rPr>
        <b val="true"/>
        <sz val="10"/>
        <rFont val="Noto Sans CJK SC"/>
        <family val="2"/>
      </rPr>
      <t xml:space="preserve">段階として組み込むことで、初めてカバレッジ数値に現れない観点まで含めた十分性を担保できることを、本画面を題材に実証した。</t>
    </r>
  </si>
  <si>
    <r>
      <rPr>
        <b val="true"/>
        <sz val="16"/>
        <rFont val="MS Pゴシック"/>
        <family val="0"/>
        <charset val="1"/>
      </rPr>
      <t xml:space="preserve">②-3</t>
    </r>
    <r>
      <rPr>
        <b val="true"/>
        <sz val="16"/>
        <rFont val="Noto Sans CJK SC"/>
        <family val="2"/>
      </rPr>
      <t xml:space="preserve">　十分性の検証方法　―　「文書に記載されていない観点」を検出するためのスキル</t>
    </r>
  </si>
  <si>
    <t xml:space="preserve">藤村様ご指摘（原文）</t>
  </si>
  <si>
    <t xml:space="preserve">また先にお伝えしておきますと、ケースの十分性に関する検証として、「設計書との比較に基づくカバレッジの数値および詳細一覧」では不十分であると考えております。結合テストにおいては、要件定義書に記載された機能概要や設計方針に適合するかを確認することも必要であり、加えてそこに記載されていない観点がないかも含めて検出できたかをもって十分性の検証を行っていただきたいです。</t>
  </si>
  <si>
    <r>
      <rPr>
        <sz val="10"/>
        <rFont val="Noto Sans CJK SC"/>
        <family val="2"/>
      </rPr>
      <t xml:space="preserve">本指摘のうち「①要件定義書の機能概要・設計方針への適合確認」は②</t>
    </r>
    <r>
      <rPr>
        <sz val="10"/>
        <rFont val="MS Pゴシック"/>
        <family val="0"/>
        <charset val="1"/>
      </rPr>
      <t xml:space="preserve">-1</t>
    </r>
    <r>
      <rPr>
        <sz val="10"/>
        <rFont val="Noto Sans CJK SC"/>
        <family val="2"/>
      </rPr>
      <t xml:space="preserve">トレーサビリティで対応した。本シートでは「②そこに記載されていない観点の検出」について、投信残高注文画面のバッチ取消フラグロジックを実際に検出した過程を振り返り、他機能にも展開可能な着眼点（スキル）として一般化する。</t>
    </r>
  </si>
  <si>
    <t xml:space="preserve">着眼点（スキル）</t>
  </si>
  <si>
    <t xml:space="preserve">具体的な確認方法</t>
  </si>
  <si>
    <t xml:space="preserve">本件での適用例（投信残高注文）</t>
  </si>
  <si>
    <r>
      <rPr>
        <sz val="10"/>
        <rFont val="MS Pゴシック"/>
        <family val="0"/>
        <charset val="1"/>
      </rPr>
      <t xml:space="preserve">① DB</t>
    </r>
    <r>
      <rPr>
        <sz val="10"/>
        <rFont val="Noto Sans CJK SC"/>
        <family val="2"/>
      </rPr>
      <t xml:space="preserve">リレーション図の新規追加カラムに着目する</t>
    </r>
  </si>
  <si>
    <r>
      <rPr>
        <sz val="10"/>
        <rFont val="Noto Sans CJK SC"/>
        <family val="2"/>
      </rPr>
      <t xml:space="preserve">テーブル定義（</t>
    </r>
    <r>
      <rPr>
        <sz val="10"/>
        <rFont val="MS Pゴシック"/>
        <family val="0"/>
        <charset val="1"/>
      </rPr>
      <t xml:space="preserve">DB</t>
    </r>
    <r>
      <rPr>
        <sz val="10"/>
        <rFont val="Noto Sans CJK SC"/>
        <family val="2"/>
      </rPr>
      <t xml:space="preserve">リレーション図）を版間で比較し、新規に追加されたカラムがあれば、それが画面表示・検索条件のどこかに反映されているはずと仮説を立てて画面項目を逆引きする。</t>
    </r>
  </si>
  <si>
    <r>
      <rPr>
        <sz val="10"/>
        <rFont val="Noto Sans CJK SC"/>
        <family val="2"/>
      </rPr>
      <t xml:space="preserve">「</t>
    </r>
    <r>
      <rPr>
        <sz val="10"/>
        <rFont val="MS Pゴシック"/>
        <family val="0"/>
        <charset val="1"/>
      </rPr>
      <t xml:space="preserve">TF</t>
    </r>
    <r>
      <rPr>
        <sz val="10"/>
        <rFont val="Noto Sans CJK SC"/>
        <family val="2"/>
      </rPr>
      <t xml:space="preserve">伝票管理」テーブルに新規追加された「バッチ取消フラグ」カラムを発見し、このカラムを参照している画面項目（</t>
    </r>
    <r>
      <rPr>
        <sz val="10"/>
        <rFont val="MS Pゴシック"/>
        <family val="0"/>
        <charset val="1"/>
      </rPr>
      <t xml:space="preserve">21-2</t>
    </r>
    <r>
      <rPr>
        <sz val="10"/>
        <rFont val="Noto Sans CJK SC"/>
        <family val="2"/>
      </rPr>
      <t xml:space="preserve">「状況」）を逆引きして「失効」表示ロジックを特定した。</t>
    </r>
  </si>
  <si>
    <t xml:space="preserve">② 変更履歴（版数・差分）を確認する</t>
  </si>
  <si>
    <t xml:space="preserve">機能設計書・要件定義書の「変更履歴」シートで最新の変更内容を確認し、当該案件番号に紐づく変更点をすべて洗い出す（画面変更だけでなくロジック変更も含む）。</t>
  </si>
  <si>
    <r>
      <rPr>
        <sz val="10"/>
        <rFont val="Noto Sans CJK SC"/>
        <family val="2"/>
      </rPr>
      <t xml:space="preserve">変更履歴</t>
    </r>
    <r>
      <rPr>
        <sz val="10"/>
        <rFont val="MS Pゴシック"/>
        <family val="0"/>
        <charset val="1"/>
      </rPr>
      <t xml:space="preserve">#62</t>
    </r>
    <r>
      <rPr>
        <sz val="10"/>
        <rFont val="Noto Sans CJK SC"/>
        <family val="2"/>
      </rPr>
      <t xml:space="preserve">（</t>
    </r>
    <r>
      <rPr>
        <sz val="10"/>
        <rFont val="MS Pゴシック"/>
        <family val="0"/>
        <charset val="1"/>
      </rPr>
      <t xml:space="preserve">5/25/2026</t>
    </r>
    <r>
      <rPr>
        <sz val="10"/>
        <rFont val="Noto Sans CJK SC"/>
        <family val="2"/>
      </rPr>
      <t xml:space="preserve">）に「バッチ取消フラグを追加」「</t>
    </r>
    <r>
      <rPr>
        <sz val="10"/>
        <rFont val="MS Pゴシック"/>
        <family val="0"/>
        <charset val="1"/>
      </rPr>
      <t xml:space="preserve">MF</t>
    </r>
    <r>
      <rPr>
        <sz val="10"/>
        <rFont val="Noto Sans CJK SC"/>
        <family val="2"/>
      </rPr>
      <t xml:space="preserve">コード</t>
    </r>
    <r>
      <rPr>
        <sz val="10"/>
        <rFont val="MS Pゴシック"/>
        <family val="0"/>
        <charset val="1"/>
      </rPr>
      <t xml:space="preserve">[055-3]</t>
    </r>
    <r>
      <rPr>
        <sz val="10"/>
        <rFont val="Noto Sans CJK SC"/>
        <family val="2"/>
      </rPr>
      <t xml:space="preserve">の表示条件を追加」と明記されているのを確認し、対応するテストケースが存在しないことに気づいた。</t>
    </r>
  </si>
  <si>
    <t xml:space="preserve">③ 同一ロジックの横展開（画面間の一貫性チェック）</t>
  </si>
  <si>
    <r>
      <rPr>
        <sz val="10"/>
        <rFont val="MS Pゴシック"/>
        <family val="0"/>
        <charset val="1"/>
      </rPr>
      <t xml:space="preserve">1</t>
    </r>
    <r>
      <rPr>
        <sz val="10"/>
        <rFont val="Noto Sans CJK SC"/>
        <family val="2"/>
      </rPr>
      <t xml:space="preserve">つの画面で見つけたロジックが、要件定義書「画面一覧」に載っている関連画面にも同様に実装されていないか確認する。</t>
    </r>
    <r>
      <rPr>
        <sz val="10"/>
        <rFont val="MS Pゴシック"/>
        <family val="0"/>
        <charset val="1"/>
      </rPr>
      <t xml:space="preserve">1</t>
    </r>
    <r>
      <rPr>
        <sz val="10"/>
        <rFont val="Noto Sans CJK SC"/>
        <family val="2"/>
      </rPr>
      <t xml:space="preserve">箇所だけ直して他を見落とすケースを防ぐ。</t>
    </r>
  </si>
  <si>
    <t xml:space="preserve">投信残高注文で見つけた「失効」ロジックが、要件定義書の画面一覧に記載されている定時定額条件登録・進捗状況一覧にも同一パターンで実装されていることを確認した。</t>
  </si>
  <si>
    <r>
      <rPr>
        <sz val="10"/>
        <rFont val="Noto Sans CJK SC"/>
        <family val="2"/>
      </rPr>
      <t xml:space="preserve">④ 表示条件の</t>
    </r>
    <r>
      <rPr>
        <sz val="10"/>
        <rFont val="MS Pゴシック"/>
        <family val="0"/>
        <charset val="1"/>
      </rPr>
      <t xml:space="preserve">AND</t>
    </r>
    <r>
      <rPr>
        <sz val="10"/>
        <rFont val="Noto Sans CJK SC"/>
        <family val="2"/>
      </rPr>
      <t xml:space="preserve">／</t>
    </r>
    <r>
      <rPr>
        <sz val="10"/>
        <rFont val="MS Pゴシック"/>
        <family val="0"/>
        <charset val="1"/>
      </rPr>
      <t xml:space="preserve">OR</t>
    </r>
    <r>
      <rPr>
        <sz val="10"/>
        <rFont val="Noto Sans CJK SC"/>
        <family val="2"/>
      </rPr>
      <t xml:space="preserve">構造を分解し、境界値を洗い出す</t>
    </r>
  </si>
  <si>
    <r>
      <rPr>
        <sz val="10"/>
        <rFont val="Noto Sans CJK SC"/>
        <family val="2"/>
      </rPr>
      <t xml:space="preserve">「</t>
    </r>
    <r>
      <rPr>
        <sz val="10"/>
        <rFont val="MS Pゴシック"/>
        <family val="0"/>
        <charset val="1"/>
      </rPr>
      <t xml:space="preserve">A</t>
    </r>
    <r>
      <rPr>
        <sz val="10"/>
        <rFont val="Noto Sans CJK SC"/>
        <family val="2"/>
      </rPr>
      <t xml:space="preserve">かつ</t>
    </r>
    <r>
      <rPr>
        <sz val="10"/>
        <rFont val="MS Pゴシック"/>
        <family val="0"/>
        <charset val="1"/>
      </rPr>
      <t xml:space="preserve">B</t>
    </r>
    <r>
      <rPr>
        <sz val="10"/>
        <rFont val="Noto Sans CJK SC"/>
        <family val="2"/>
      </rPr>
      <t xml:space="preserve">の場合は</t>
    </r>
    <r>
      <rPr>
        <sz val="10"/>
        <rFont val="MS Pゴシック"/>
        <family val="0"/>
        <charset val="1"/>
      </rPr>
      <t xml:space="preserve">C</t>
    </r>
    <r>
      <rPr>
        <sz val="10"/>
        <rFont val="Noto Sans CJK SC"/>
        <family val="2"/>
      </rPr>
      <t xml:space="preserve">」という条件式を見つけたら、</t>
    </r>
    <r>
      <rPr>
        <sz val="10"/>
        <rFont val="MS Pゴシック"/>
        <family val="0"/>
        <charset val="1"/>
      </rPr>
      <t xml:space="preserve">A</t>
    </r>
    <r>
      <rPr>
        <sz val="10"/>
        <rFont val="Noto Sans CJK SC"/>
        <family val="2"/>
      </rPr>
      <t xml:space="preserve">単独／</t>
    </r>
    <r>
      <rPr>
        <sz val="10"/>
        <rFont val="MS Pゴシック"/>
        <family val="0"/>
        <charset val="1"/>
      </rPr>
      <t xml:space="preserve">B</t>
    </r>
    <r>
      <rPr>
        <sz val="10"/>
        <rFont val="Noto Sans CJK SC"/>
        <family val="2"/>
      </rPr>
      <t xml:space="preserve">単独／どちらも満たさない場合の</t>
    </r>
    <r>
      <rPr>
        <sz val="10"/>
        <rFont val="MS Pゴシック"/>
        <family val="0"/>
        <charset val="1"/>
      </rPr>
      <t xml:space="preserve">3</t>
    </r>
    <r>
      <rPr>
        <sz val="10"/>
        <rFont val="Noto Sans CJK SC"/>
        <family val="2"/>
      </rPr>
      <t xml:space="preserve">パターンを機械的に洗い出す。</t>
    </r>
    <r>
      <rPr>
        <sz val="10"/>
        <rFont val="MS Pゴシック"/>
        <family val="0"/>
        <charset val="1"/>
      </rPr>
      <t xml:space="preserve">AI</t>
    </r>
    <r>
      <rPr>
        <sz val="10"/>
        <rFont val="Noto Sans CJK SC"/>
        <family val="2"/>
      </rPr>
      <t xml:space="preserve">生成・人的レビューは正常系（</t>
    </r>
    <r>
      <rPr>
        <sz val="10"/>
        <rFont val="MS Pゴシック"/>
        <family val="0"/>
        <charset val="1"/>
      </rPr>
      <t xml:space="preserve">A</t>
    </r>
    <r>
      <rPr>
        <sz val="10"/>
        <rFont val="Noto Sans CJK SC"/>
        <family val="2"/>
      </rPr>
      <t xml:space="preserve">・</t>
    </r>
    <r>
      <rPr>
        <sz val="10"/>
        <rFont val="MS Pゴシック"/>
        <family val="0"/>
        <charset val="1"/>
      </rPr>
      <t xml:space="preserve">B</t>
    </r>
    <r>
      <rPr>
        <sz val="10"/>
        <rFont val="Noto Sans CJK SC"/>
        <family val="2"/>
      </rPr>
      <t xml:space="preserve">両方成立）のみ確認しがちなため。</t>
    </r>
  </si>
  <si>
    <r>
      <rPr>
        <sz val="10"/>
        <rFont val="Noto Sans CJK SC"/>
        <family val="2"/>
      </rPr>
      <t xml:space="preserve">「ホスト送信状況</t>
    </r>
    <r>
      <rPr>
        <sz val="10"/>
        <rFont val="MS Pゴシック"/>
        <family val="0"/>
        <charset val="1"/>
      </rPr>
      <t xml:space="preserve">9 </t>
    </r>
    <r>
      <rPr>
        <sz val="10"/>
        <rFont val="Noto Sans CJK SC"/>
        <family val="2"/>
      </rPr>
      <t xml:space="preserve">かつ バッチ取消フラグ</t>
    </r>
    <r>
      <rPr>
        <sz val="10"/>
        <rFont val="MS Pゴシック"/>
        <family val="0"/>
        <charset val="1"/>
      </rPr>
      <t xml:space="preserve">1→</t>
    </r>
    <r>
      <rPr>
        <sz val="10"/>
        <rFont val="Noto Sans CJK SC"/>
        <family val="2"/>
      </rPr>
      <t xml:space="preserve">失効」に対し、フラグのみ／ホスト送信状況のみが成立するケースを境界値として追加し、</t>
    </r>
    <r>
      <rPr>
        <sz val="10"/>
        <rFont val="MS Pゴシック"/>
        <family val="0"/>
        <charset val="1"/>
      </rPr>
      <t xml:space="preserve">AND</t>
    </r>
    <r>
      <rPr>
        <sz val="10"/>
        <rFont val="Noto Sans CJK SC"/>
        <family val="2"/>
      </rPr>
      <t xml:space="preserve">条件の誤判定がないことを確認した。</t>
    </r>
  </si>
  <si>
    <t xml:space="preserve">⑤ 要件定義書の対応事項と画面一覧を突合し、テストケースの「空白」を探す</t>
  </si>
  <si>
    <r>
      <rPr>
        <sz val="10"/>
        <rFont val="Noto Sans CJK SC"/>
        <family val="2"/>
      </rPr>
      <t xml:space="preserve">要件定義書に列挙された対応事項（①②③</t>
    </r>
    <r>
      <rPr>
        <sz val="10"/>
        <rFont val="MS Pゴシック"/>
        <family val="0"/>
        <charset val="1"/>
      </rPr>
      <t xml:space="preserve">...</t>
    </r>
    <r>
      <rPr>
        <sz val="10"/>
        <rFont val="Noto Sans CJK SC"/>
        <family val="2"/>
      </rPr>
      <t xml:space="preserve">）と、実際に作成したテストケースを</t>
    </r>
    <r>
      <rPr>
        <sz val="10"/>
        <rFont val="MS Pゴシック"/>
        <family val="0"/>
        <charset val="1"/>
      </rPr>
      <t xml:space="preserve">1</t>
    </r>
    <r>
      <rPr>
        <sz val="10"/>
        <rFont val="Noto Sans CJK SC"/>
        <family val="2"/>
      </rPr>
      <t xml:space="preserve">行ずつ突合し、テストケースが存在しない対応事項があれば「検出できていない」と明示する。</t>
    </r>
  </si>
  <si>
    <r>
      <rPr>
        <sz val="10"/>
        <rFont val="MS Pゴシック"/>
        <family val="0"/>
        <charset val="1"/>
      </rPr>
      <t xml:space="preserve">②-1</t>
    </r>
    <r>
      <rPr>
        <sz val="10"/>
        <rFont val="Noto Sans CJK SC"/>
        <family val="2"/>
      </rPr>
      <t xml:space="preserve">のトレーサビリティ表で、本部検印・営業店検印に関する対応事項がテストケース未作成であることを可視化し、「範囲外」として正直に報告した（隠さず明示することも十分性検証の一部）。</t>
    </r>
  </si>
  <si>
    <t xml:space="preserve">⑥ 業務シナリオを時系列で再現し、データの状態遷移を追う</t>
  </si>
  <si>
    <r>
      <rPr>
        <sz val="10"/>
        <rFont val="Noto Sans CJK SC"/>
        <family val="2"/>
      </rPr>
      <t xml:space="preserve">「非課税口座開設申込→先日付</t>
    </r>
    <r>
      <rPr>
        <sz val="10"/>
        <rFont val="MS Pゴシック"/>
        <family val="0"/>
        <charset val="1"/>
      </rPr>
      <t xml:space="preserve">NISA</t>
    </r>
    <r>
      <rPr>
        <sz val="10"/>
        <rFont val="Noto Sans CJK SC"/>
        <family val="2"/>
      </rPr>
      <t xml:space="preserve">注文受付→夜間バッチ処理→口座開設可否確定」という一連の業務フローを時系列で書き出し、各ステップでデータがどう変化するかを追跡する。</t>
    </r>
  </si>
  <si>
    <r>
      <rPr>
        <sz val="10"/>
        <rFont val="Noto Sans CJK SC"/>
        <family val="2"/>
      </rPr>
      <t xml:space="preserve">先日付</t>
    </r>
    <r>
      <rPr>
        <sz val="10"/>
        <rFont val="MS Pゴシック"/>
        <family val="0"/>
        <charset val="1"/>
      </rPr>
      <t xml:space="preserve">NISA</t>
    </r>
    <r>
      <rPr>
        <sz val="10"/>
        <rFont val="Noto Sans CJK SC"/>
        <family val="2"/>
      </rPr>
      <t xml:space="preserve">注文が受け付けられた後、バッチで口座開設に失敗した場合に注文が自動取消される、という状態遷移を再現し、テストデータのシステム日付・申込日付を先日付の関係になるよう是正した。</t>
    </r>
  </si>
  <si>
    <r>
      <rPr>
        <b val="true"/>
        <sz val="10"/>
        <rFont val="Noto Sans CJK SC"/>
        <family val="2"/>
      </rPr>
      <t xml:space="preserve">結論：これらの着眼点は投信残高注文画面に限らず、他画面・他案件でも再現可能な手順としてテスト設計の標準チェックリストに組み込むことができる。</t>
    </r>
    <r>
      <rPr>
        <b val="true"/>
        <sz val="10"/>
        <rFont val="MS Pゴシック"/>
        <family val="0"/>
        <charset val="1"/>
      </rPr>
      <t xml:space="preserve">AI</t>
    </r>
    <r>
      <rPr>
        <b val="true"/>
        <sz val="10"/>
        <rFont val="Noto Sans CJK SC"/>
        <family val="2"/>
      </rPr>
      <t xml:space="preserve">ツールによる自動生成・人的レビューにこの</t>
    </r>
    <r>
      <rPr>
        <b val="true"/>
        <sz val="10"/>
        <rFont val="MS Pゴシック"/>
        <family val="0"/>
        <charset val="1"/>
      </rPr>
      <t xml:space="preserve">6</t>
    </r>
    <r>
      <rPr>
        <b val="true"/>
        <sz val="10"/>
        <rFont val="Noto Sans CJK SC"/>
        <family val="2"/>
      </rPr>
      <t xml:space="preserve">つの着眼点による確認を追加することで、「設計書に記載されていない観点」を体系的に検出する体制を構築する。</t>
    </r>
  </si>
  <si>
    <t xml:space="preserve">③実施内容　―　投信残高注文画面 詳細タイムライン</t>
  </si>
  <si>
    <t xml:space="preserve">実施日</t>
  </si>
  <si>
    <t xml:space="preserve">工程</t>
  </si>
  <si>
    <t xml:space="preserve">実施内容</t>
  </si>
  <si>
    <t xml:space="preserve">使用資料／ツール</t>
  </si>
  <si>
    <t xml:space="preserve">実施結果</t>
  </si>
  <si>
    <t xml:space="preserve">検出・成果物</t>
  </si>
  <si>
    <t xml:space="preserve">2026/07/22</t>
  </si>
  <si>
    <t xml:space="preserve">①テストケース自動生成</t>
  </si>
  <si>
    <r>
      <rPr>
        <sz val="10"/>
        <rFont val="Noto Sans CJK SC"/>
        <family val="2"/>
      </rPr>
      <t xml:space="preserve">定時定額条件登録画面について</t>
    </r>
    <r>
      <rPr>
        <sz val="10"/>
        <rFont val="MS Pゴシック"/>
        <family val="0"/>
        <charset val="1"/>
      </rPr>
      <t xml:space="preserve">AI</t>
    </r>
    <r>
      <rPr>
        <sz val="10"/>
        <rFont val="Noto Sans CJK SC"/>
        <family val="2"/>
      </rPr>
      <t xml:space="preserve">ツールがテストケースを自動生成（関連画面として並行実施）</t>
    </r>
  </si>
  <si>
    <t xml:space="preserve">DAT Copilot Bridge</t>
  </si>
  <si>
    <t xml:space="preserve">完了</t>
  </si>
  <si>
    <r>
      <rPr>
        <sz val="10"/>
        <rFont val="MS Pゴシック"/>
        <family val="0"/>
        <charset val="1"/>
      </rPr>
      <t xml:space="preserve">16</t>
    </r>
    <r>
      <rPr>
        <sz val="10"/>
        <rFont val="Noto Sans CJK SC"/>
        <family val="2"/>
      </rPr>
      <t xml:space="preserve">件（</t>
    </r>
    <r>
      <rPr>
        <sz val="10"/>
        <rFont val="MS Pゴシック"/>
        <family val="0"/>
        <charset val="1"/>
      </rPr>
      <t xml:space="preserve">A-1</t>
    </r>
    <r>
      <rPr>
        <sz val="10"/>
        <rFont val="Noto Sans CJK SC"/>
        <family val="2"/>
      </rPr>
      <t xml:space="preserve">〜</t>
    </r>
    <r>
      <rPr>
        <sz val="10"/>
        <rFont val="MS Pゴシック"/>
        <family val="0"/>
        <charset val="1"/>
      </rPr>
      <t xml:space="preserve">E-1</t>
    </r>
    <r>
      <rPr>
        <sz val="10"/>
        <rFont val="Noto Sans CJK SC"/>
        <family val="2"/>
      </rPr>
      <t xml:space="preserve">）生成</t>
    </r>
  </si>
  <si>
    <t xml:space="preserve">②人的レビュー</t>
  </si>
  <si>
    <r>
      <rPr>
        <sz val="10"/>
        <rFont val="MS Pゴシック"/>
        <family val="0"/>
        <charset val="1"/>
      </rPr>
      <t xml:space="preserve">AI</t>
    </r>
    <r>
      <rPr>
        <sz val="10"/>
        <rFont val="Noto Sans CJK SC"/>
        <family val="2"/>
      </rPr>
      <t xml:space="preserve">生成版テストケースを</t>
    </r>
    <r>
      <rPr>
        <sz val="10"/>
        <rFont val="MS Pゴシック"/>
        <family val="0"/>
        <charset val="1"/>
      </rPr>
      <t xml:space="preserve">DAT</t>
    </r>
    <r>
      <rPr>
        <sz val="10"/>
        <rFont val="Noto Sans CJK SC"/>
        <family val="2"/>
      </rPr>
      <t xml:space="preserve">担当者がレビューし期待結果・前提条件を修正</t>
    </r>
  </si>
  <si>
    <r>
      <rPr>
        <sz val="10"/>
        <rFont val="Noto Sans CJK SC"/>
        <family val="2"/>
      </rPr>
      <t xml:space="preserve">【</t>
    </r>
    <r>
      <rPr>
        <sz val="10"/>
        <rFont val="MS Pゴシック"/>
        <family val="0"/>
        <charset val="1"/>
      </rPr>
      <t xml:space="preserve">SFM-06-001</t>
    </r>
    <r>
      <rPr>
        <sz val="10"/>
        <rFont val="Noto Sans CJK SC"/>
        <family val="2"/>
      </rPr>
      <t xml:space="preserve">】結合テスト計画兼結果報告書</t>
    </r>
  </si>
  <si>
    <r>
      <rPr>
        <sz val="10"/>
        <rFont val="Noto Sans CJK SC"/>
        <family val="2"/>
      </rPr>
      <t xml:space="preserve">会社条件</t>
    </r>
    <r>
      <rPr>
        <sz val="10"/>
        <rFont val="MS Pゴシック"/>
        <family val="0"/>
        <charset val="1"/>
      </rPr>
      <t xml:space="preserve">[318]</t>
    </r>
    <r>
      <rPr>
        <sz val="10"/>
        <rFont val="Noto Sans CJK SC"/>
        <family val="2"/>
      </rPr>
      <t xml:space="preserve">の欠落、期待結果誤り</t>
    </r>
    <r>
      <rPr>
        <sz val="10"/>
        <rFont val="MS Pゴシック"/>
        <family val="0"/>
        <charset val="1"/>
      </rPr>
      <t xml:space="preserve">2</t>
    </r>
    <r>
      <rPr>
        <sz val="10"/>
        <rFont val="Noto Sans CJK SC"/>
        <family val="2"/>
      </rPr>
      <t xml:space="preserve">件を検出・修正</t>
    </r>
  </si>
  <si>
    <t xml:space="preserve">2026/07/23</t>
  </si>
  <si>
    <t xml:space="preserve">③設計書精読（画面一覧確認）</t>
  </si>
  <si>
    <r>
      <rPr>
        <sz val="10"/>
        <rFont val="Noto Sans CJK SC"/>
        <family val="2"/>
      </rPr>
      <t xml:space="preserve">要件定義書「</t>
    </r>
    <r>
      <rPr>
        <sz val="10"/>
        <rFont val="MS Pゴシック"/>
        <family val="0"/>
        <charset val="1"/>
      </rPr>
      <t xml:space="preserve">11.2.</t>
    </r>
    <r>
      <rPr>
        <sz val="10"/>
        <rFont val="Noto Sans CJK SC"/>
        <family val="2"/>
      </rPr>
      <t xml:space="preserve">画面一覧」を確認し、案件</t>
    </r>
    <r>
      <rPr>
        <sz val="10"/>
        <rFont val="MS Pゴシック"/>
        <family val="0"/>
        <charset val="1"/>
      </rPr>
      <t xml:space="preserve">1158</t>
    </r>
    <r>
      <rPr>
        <sz val="10"/>
        <rFont val="Noto Sans CJK SC"/>
        <family val="2"/>
      </rPr>
      <t xml:space="preserve">で変更対象となる画面（進捗状況一覧・投信残高注文・本部検印</t>
    </r>
    <r>
      <rPr>
        <sz val="10"/>
        <rFont val="MS Pゴシック"/>
        <family val="0"/>
        <charset val="1"/>
      </rPr>
      <t xml:space="preserve">/</t>
    </r>
    <r>
      <rPr>
        <sz val="10"/>
        <rFont val="Noto Sans CJK SC"/>
        <family val="2"/>
      </rPr>
      <t xml:space="preserve">営業店検印・申込状況一覧）を特定</t>
    </r>
  </si>
  <si>
    <r>
      <rPr>
        <sz val="10"/>
        <rFont val="Noto Sans CJK SC"/>
        <family val="2"/>
      </rPr>
      <t xml:space="preserve">要件定義書</t>
    </r>
    <r>
      <rPr>
        <sz val="10"/>
        <rFont val="MS Pゴシック"/>
        <family val="0"/>
        <charset val="1"/>
      </rPr>
      <t xml:space="preserve">_v4.00.docx</t>
    </r>
  </si>
  <si>
    <t xml:space="preserve">投信残高注文が対象画面であることを特定</t>
  </si>
  <si>
    <t xml:space="preserve">③設計書精読（ロジック抽出）</t>
  </si>
  <si>
    <r>
      <rPr>
        <sz val="10"/>
        <rFont val="Noto Sans CJK SC"/>
        <family val="2"/>
      </rPr>
      <t xml:space="preserve">機能設計書（画面項目</t>
    </r>
    <r>
      <rPr>
        <sz val="10"/>
        <rFont val="MS Pゴシック"/>
        <family val="0"/>
        <charset val="1"/>
      </rPr>
      <t xml:space="preserve">14-2</t>
    </r>
    <r>
      <rPr>
        <sz val="10"/>
        <rFont val="Noto Sans CJK SC"/>
        <family val="2"/>
      </rPr>
      <t xml:space="preserve">／</t>
    </r>
    <r>
      <rPr>
        <sz val="10"/>
        <rFont val="MS Pゴシック"/>
        <family val="0"/>
        <charset val="1"/>
      </rPr>
      <t xml:space="preserve">21-2</t>
    </r>
    <r>
      <rPr>
        <sz val="10"/>
        <rFont val="Noto Sans CJK SC"/>
        <family val="2"/>
      </rPr>
      <t xml:space="preserve">、</t>
    </r>
    <r>
      <rPr>
        <sz val="10"/>
        <rFont val="MS Pゴシック"/>
        <family val="0"/>
        <charset val="1"/>
      </rPr>
      <t xml:space="preserve">DB</t>
    </r>
    <r>
      <rPr>
        <sz val="10"/>
        <rFont val="Noto Sans CJK SC"/>
        <family val="2"/>
      </rPr>
      <t xml:space="preserve">リレーション）を</t>
    </r>
    <r>
      <rPr>
        <sz val="10"/>
        <rFont val="MS Pゴシック"/>
        <family val="0"/>
        <charset val="1"/>
      </rPr>
      <t xml:space="preserve">1</t>
    </r>
    <r>
      <rPr>
        <sz val="10"/>
        <rFont val="Noto Sans CJK SC"/>
        <family val="2"/>
      </rPr>
      <t xml:space="preserve">行単位で読解し、バッチ取消フラグ</t>
    </r>
    <r>
      <rPr>
        <sz val="10"/>
        <rFont val="MS Pゴシック"/>
        <family val="0"/>
        <charset val="1"/>
      </rPr>
      <t xml:space="preserve">×</t>
    </r>
    <r>
      <rPr>
        <sz val="10"/>
        <rFont val="Noto Sans CJK SC"/>
        <family val="2"/>
      </rPr>
      <t xml:space="preserve">ホスト送信状況の判定ロジックを抽出</t>
    </r>
  </si>
  <si>
    <r>
      <rPr>
        <sz val="10"/>
        <rFont val="MS Pゴシック"/>
        <family val="0"/>
        <charset val="1"/>
      </rPr>
      <t xml:space="preserve">F03</t>
    </r>
    <r>
      <rPr>
        <sz val="10"/>
        <rFont val="Noto Sans CJK SC"/>
        <family val="2"/>
      </rPr>
      <t xml:space="preserve">投信伝票確認</t>
    </r>
    <r>
      <rPr>
        <sz val="10"/>
        <rFont val="MS Pゴシック"/>
        <family val="0"/>
        <charset val="1"/>
      </rPr>
      <t xml:space="preserve">_030_</t>
    </r>
    <r>
      <rPr>
        <sz val="10"/>
        <rFont val="Noto Sans CJK SC"/>
        <family val="2"/>
      </rPr>
      <t xml:space="preserve">機能設計書</t>
    </r>
    <r>
      <rPr>
        <sz val="10"/>
        <rFont val="MS Pゴシック"/>
        <family val="0"/>
        <charset val="1"/>
      </rPr>
      <t xml:space="preserve">.xls</t>
    </r>
  </si>
  <si>
    <r>
      <rPr>
        <sz val="10"/>
        <rFont val="Noto Sans CJK SC"/>
        <family val="2"/>
      </rPr>
      <t xml:space="preserve">「失効」表示ロジック（</t>
    </r>
    <r>
      <rPr>
        <sz val="10"/>
        <rFont val="MS Pゴシック"/>
        <family val="0"/>
        <charset val="1"/>
      </rPr>
      <t xml:space="preserve">MF</t>
    </r>
    <r>
      <rPr>
        <sz val="10"/>
        <rFont val="Noto Sans CJK SC"/>
        <family val="2"/>
      </rPr>
      <t xml:space="preserve">コード</t>
    </r>
    <r>
      <rPr>
        <sz val="10"/>
        <rFont val="MS Pゴシック"/>
        <family val="0"/>
        <charset val="1"/>
      </rPr>
      <t xml:space="preserve">055-3</t>
    </r>
    <r>
      <rPr>
        <sz val="10"/>
        <rFont val="Noto Sans CJK SC"/>
        <family val="2"/>
      </rPr>
      <t xml:space="preserve">）を検出</t>
    </r>
  </si>
  <si>
    <t xml:space="preserve">③設計書精読（取消ボタン制御の抽出）</t>
  </si>
  <si>
    <r>
      <rPr>
        <sz val="10"/>
        <rFont val="Noto Sans CJK SC"/>
        <family val="2"/>
      </rPr>
      <t xml:space="preserve">機能設計書の画面項目</t>
    </r>
    <r>
      <rPr>
        <sz val="10"/>
        <rFont val="MS Pゴシック"/>
        <family val="0"/>
        <charset val="1"/>
      </rPr>
      <t xml:space="preserve">13</t>
    </r>
    <r>
      <rPr>
        <sz val="10"/>
        <rFont val="Noto Sans CJK SC"/>
        <family val="2"/>
      </rPr>
      <t xml:space="preserve">（取消ボタン）を確認し、ホスト送信状況による表示制御条件を抽出</t>
    </r>
  </si>
  <si>
    <t xml:space="preserve">同上</t>
  </si>
  <si>
    <r>
      <rPr>
        <sz val="10"/>
        <rFont val="Noto Sans CJK SC"/>
        <family val="2"/>
      </rPr>
      <t xml:space="preserve">取消ボタン非表示条件（</t>
    </r>
    <r>
      <rPr>
        <sz val="10"/>
        <rFont val="MS Pゴシック"/>
        <family val="0"/>
        <charset val="1"/>
      </rPr>
      <t xml:space="preserve">1/2/9</t>
    </r>
    <r>
      <rPr>
        <sz val="10"/>
        <rFont val="Noto Sans CJK SC"/>
        <family val="2"/>
      </rPr>
      <t xml:space="preserve">）を検出</t>
    </r>
  </si>
  <si>
    <t xml:space="preserve">④前提条件の是正</t>
  </si>
  <si>
    <r>
      <rPr>
        <sz val="10"/>
        <rFont val="Noto Sans CJK SC"/>
        <family val="2"/>
      </rPr>
      <t xml:space="preserve">先日付</t>
    </r>
    <r>
      <rPr>
        <sz val="10"/>
        <rFont val="MS Pゴシック"/>
        <family val="0"/>
        <charset val="1"/>
      </rPr>
      <t xml:space="preserve">NISA</t>
    </r>
    <r>
      <rPr>
        <sz val="10"/>
        <rFont val="Noto Sans CJK SC"/>
        <family val="2"/>
      </rPr>
      <t xml:space="preserve">注文（会社条件</t>
    </r>
    <r>
      <rPr>
        <sz val="10"/>
        <rFont val="MS Pゴシック"/>
        <family val="0"/>
        <charset val="1"/>
      </rPr>
      <t xml:space="preserve">393</t>
    </r>
    <r>
      <rPr>
        <sz val="10"/>
        <rFont val="Noto Sans CJK SC"/>
        <family val="2"/>
      </rPr>
      <t xml:space="preserve">）が本ロジックの前提であることを特定し、テストデータのシステム日付・申込日付・会社条件を是正</t>
    </r>
  </si>
  <si>
    <t xml:space="preserve">本会話でのレビュー指摘</t>
  </si>
  <si>
    <r>
      <rPr>
        <sz val="10"/>
        <rFont val="Noto Sans CJK SC"/>
        <family val="2"/>
      </rPr>
      <t xml:space="preserve">全</t>
    </r>
    <r>
      <rPr>
        <sz val="10"/>
        <rFont val="MS Pゴシック"/>
        <family val="0"/>
        <charset val="1"/>
      </rPr>
      <t xml:space="preserve">16</t>
    </r>
    <r>
      <rPr>
        <sz val="10"/>
        <rFont val="Noto Sans CJK SC"/>
        <family val="2"/>
      </rPr>
      <t xml:space="preserve">件にシステム日付／申込日付（先日付）／会社条件</t>
    </r>
    <r>
      <rPr>
        <sz val="10"/>
        <rFont val="MS Pゴシック"/>
        <family val="0"/>
        <charset val="1"/>
      </rPr>
      <t xml:space="preserve">393</t>
    </r>
    <r>
      <rPr>
        <sz val="10"/>
        <rFont val="Noto Sans CJK SC"/>
        <family val="2"/>
      </rPr>
      <t xml:space="preserve">を追加</t>
    </r>
  </si>
  <si>
    <t xml:space="preserve">⑤テストケース作成</t>
  </si>
  <si>
    <r>
      <rPr>
        <sz val="10"/>
        <rFont val="Noto Sans CJK SC"/>
        <family val="2"/>
      </rPr>
      <t xml:space="preserve">検出した観点をもとに、境界値を含む</t>
    </r>
    <r>
      <rPr>
        <sz val="10"/>
        <rFont val="MS Pゴシック"/>
        <family val="0"/>
        <charset val="1"/>
      </rPr>
      <t xml:space="preserve">8</t>
    </r>
    <r>
      <rPr>
        <sz val="10"/>
        <rFont val="Noto Sans CJK SC"/>
        <family val="2"/>
      </rPr>
      <t xml:space="preserve">パターン</t>
    </r>
    <r>
      <rPr>
        <sz val="10"/>
        <rFont val="MS Pゴシック"/>
        <family val="0"/>
        <charset val="1"/>
      </rPr>
      <t xml:space="preserve">×2</t>
    </r>
    <r>
      <rPr>
        <sz val="10"/>
        <rFont val="Noto Sans CJK SC"/>
        <family val="2"/>
      </rPr>
      <t xml:space="preserve">画面（一覧・確認）＝</t>
    </r>
    <r>
      <rPr>
        <sz val="10"/>
        <rFont val="MS Pゴシック"/>
        <family val="0"/>
        <charset val="1"/>
      </rPr>
      <t xml:space="preserve">16</t>
    </r>
    <r>
      <rPr>
        <sz val="10"/>
        <rFont val="Noto Sans CJK SC"/>
        <family val="2"/>
      </rPr>
      <t xml:space="preserve">件のテストケースを作成</t>
    </r>
  </si>
  <si>
    <t xml:space="preserve">toshin_zandaka_test_v7.xlsx</t>
  </si>
  <si>
    <r>
      <rPr>
        <sz val="10"/>
        <rFont val="Noto Sans CJK SC"/>
        <family val="2"/>
      </rPr>
      <t xml:space="preserve">テストケース／判定ロジック決定表／データ準備の</t>
    </r>
    <r>
      <rPr>
        <sz val="10"/>
        <rFont val="MS Pゴシック"/>
        <family val="0"/>
        <charset val="1"/>
      </rPr>
      <t xml:space="preserve">3</t>
    </r>
    <r>
      <rPr>
        <sz val="10"/>
        <rFont val="Noto Sans CJK SC"/>
        <family val="2"/>
      </rPr>
      <t xml:space="preserve">シート構成で作成</t>
    </r>
  </si>
  <si>
    <t xml:space="preserve">⑥テストケース実機実行</t>
  </si>
  <si>
    <t xml:space="preserve">作成済みテストケースをテスト環境で実行し、実施結果・検証結果を記録する</t>
  </si>
  <si>
    <t xml:space="preserve">テスト環境（未定）</t>
  </si>
  <si>
    <t xml:space="preserve">未実施（次工程）</t>
  </si>
  <si>
    <r>
      <rPr>
        <b val="true"/>
        <sz val="16"/>
        <rFont val="MS Pゴシック"/>
        <family val="0"/>
        <charset val="1"/>
      </rPr>
      <t xml:space="preserve">④AI</t>
    </r>
    <r>
      <rPr>
        <b val="true"/>
        <sz val="16"/>
        <rFont val="Noto Sans CJK SC"/>
        <family val="2"/>
      </rPr>
      <t xml:space="preserve">活用による効率化（工数）　―　投信残高注文画面</t>
    </r>
  </si>
  <si>
    <t xml:space="preserve">黄色セル（青字）は実績工数の記入が必要です。数式により削減時間・削減率を自動計算します。</t>
  </si>
  <si>
    <r>
      <rPr>
        <b val="true"/>
        <sz val="10"/>
        <color rgb="FFFFFFFF"/>
        <rFont val="Noto Sans CJK SC"/>
        <family val="2"/>
      </rPr>
      <t xml:space="preserve">従来（手動）想定工数</t>
    </r>
    <r>
      <rPr>
        <b val="true"/>
        <sz val="10"/>
        <color rgb="FFFFFFFF"/>
        <rFont val="MS Pゴシック"/>
        <family val="0"/>
        <charset val="1"/>
      </rPr>
      <t xml:space="preserve">(h)</t>
    </r>
  </si>
  <si>
    <r>
      <rPr>
        <b val="true"/>
        <sz val="10"/>
        <color rgb="FFFFFFFF"/>
        <rFont val="MS Pゴシック"/>
        <family val="0"/>
        <charset val="1"/>
      </rPr>
      <t xml:space="preserve">AI</t>
    </r>
    <r>
      <rPr>
        <b val="true"/>
        <sz val="10"/>
        <color rgb="FFFFFFFF"/>
        <rFont val="Noto Sans CJK SC"/>
        <family val="2"/>
      </rPr>
      <t xml:space="preserve">活用実施工数</t>
    </r>
    <r>
      <rPr>
        <b val="true"/>
        <sz val="10"/>
        <color rgb="FFFFFFFF"/>
        <rFont val="MS Pゴシック"/>
        <family val="0"/>
        <charset val="1"/>
      </rPr>
      <t xml:space="preserve">(h)</t>
    </r>
  </si>
  <si>
    <r>
      <rPr>
        <b val="true"/>
        <sz val="10"/>
        <color rgb="FFFFFFFF"/>
        <rFont val="Noto Sans CJK SC"/>
        <family val="2"/>
      </rPr>
      <t xml:space="preserve">削減時間</t>
    </r>
    <r>
      <rPr>
        <b val="true"/>
        <sz val="10"/>
        <color rgb="FFFFFFFF"/>
        <rFont val="MS Pゴシック"/>
        <family val="0"/>
        <charset val="1"/>
      </rPr>
      <t xml:space="preserve">(h)</t>
    </r>
  </si>
  <si>
    <t xml:space="preserve">削減率</t>
  </si>
  <si>
    <t xml:space="preserve">要件定義書・機能設計書の読解による対象範囲の特定</t>
  </si>
  <si>
    <t xml:space="preserve">★実績工数を記入してください</t>
  </si>
  <si>
    <t xml:space="preserve">バッチ取消フラグ・失効表示ロジックの抽出（設計書精読）</t>
  </si>
  <si>
    <t xml:space="preserve">取消ボタン表示制御ロジックの抽出</t>
  </si>
  <si>
    <r>
      <rPr>
        <sz val="10"/>
        <rFont val="Noto Sans CJK SC"/>
        <family val="2"/>
      </rPr>
      <t xml:space="preserve">テストケース作成（</t>
    </r>
    <r>
      <rPr>
        <sz val="10"/>
        <rFont val="MS Pゴシック"/>
        <family val="0"/>
        <charset val="1"/>
      </rPr>
      <t xml:space="preserve">16</t>
    </r>
    <r>
      <rPr>
        <sz val="10"/>
        <rFont val="Noto Sans CJK SC"/>
        <family val="2"/>
      </rPr>
      <t xml:space="preserve">件、境界値含む）</t>
    </r>
  </si>
  <si>
    <r>
      <rPr>
        <sz val="10"/>
        <rFont val="MS Pゴシック"/>
        <family val="0"/>
        <charset val="1"/>
      </rPr>
      <t xml:space="preserve">★AI</t>
    </r>
    <r>
      <rPr>
        <sz val="10"/>
        <rFont val="Noto Sans CJK SC"/>
        <family val="2"/>
      </rPr>
      <t xml:space="preserve">支援ありでの実績工数を記入してください</t>
    </r>
  </si>
  <si>
    <r>
      <rPr>
        <sz val="10"/>
        <rFont val="Noto Sans CJK SC"/>
        <family val="2"/>
      </rPr>
      <t xml:space="preserve">テストケースレビュー・前提条件是正（先日付・会社条件</t>
    </r>
    <r>
      <rPr>
        <sz val="10"/>
        <rFont val="MS Pゴシック"/>
        <family val="0"/>
        <charset val="1"/>
      </rPr>
      <t xml:space="preserve">393</t>
    </r>
    <r>
      <rPr>
        <sz val="10"/>
        <rFont val="Noto Sans CJK SC"/>
        <family val="2"/>
      </rPr>
      <t xml:space="preserve">）</t>
    </r>
  </si>
  <si>
    <t xml:space="preserve">合計</t>
  </si>
  <si>
    <r>
      <rPr>
        <sz val="10"/>
        <rFont val="Noto Sans CJK SC"/>
        <family val="2"/>
      </rPr>
      <t xml:space="preserve">参考：人手のみで同水準の十分性（</t>
    </r>
    <r>
      <rPr>
        <sz val="10"/>
        <rFont val="MS Pゴシック"/>
        <family val="0"/>
        <charset val="1"/>
      </rPr>
      <t xml:space="preserve">3</t>
    </r>
    <r>
      <rPr>
        <sz val="10"/>
        <rFont val="Noto Sans CJK SC"/>
        <family val="2"/>
      </rPr>
      <t xml:space="preserve">段階検出プロセス相当）を達成しようとした場合、設計書精読を専任担当者が行う必要があり、画面数が多いシステム全体では大幅な工数増が見込まれる。</t>
    </r>
    <r>
      <rPr>
        <sz val="10"/>
        <rFont val="MS Pゴシック"/>
        <family val="0"/>
        <charset val="1"/>
      </rPr>
      <t xml:space="preserve">AI</t>
    </r>
    <r>
      <rPr>
        <sz val="10"/>
        <rFont val="Noto Sans CJK SC"/>
        <family val="2"/>
      </rPr>
      <t xml:space="preserve">ツールによる初期生成を土台としつつ、設計書精読の工程を明示的にテスト工程に組み込むことで、精度と工数のバランスを取ることができる。</t>
    </r>
  </si>
  <si>
    <t xml:space="preserve">【納品時参考資料】使用ツールについて</t>
  </si>
  <si>
    <t xml:space="preserve">※本資料は①〜④の報告内容についてご承認いただいた後、納品物の一部としてご参照ください。</t>
  </si>
  <si>
    <r>
      <rPr>
        <sz val="10"/>
        <rFont val="Noto Sans CJK SC"/>
        <family val="2"/>
      </rPr>
      <t xml:space="preserve">藤村様ご返信より：「ツールの提案についてもまずは上記が納品され、ツール活用により</t>
    </r>
    <r>
      <rPr>
        <sz val="10"/>
        <rFont val="MS Pゴシック"/>
        <family val="0"/>
        <charset val="1"/>
      </rPr>
      <t xml:space="preserve">DAT</t>
    </r>
    <r>
      <rPr>
        <sz val="10"/>
        <rFont val="Noto Sans CJK SC"/>
        <family val="2"/>
      </rPr>
      <t xml:space="preserve">でのテスト工程実施が可能であることが実証され、それを</t>
    </r>
    <r>
      <rPr>
        <sz val="10"/>
        <rFont val="MS Pゴシック"/>
        <family val="0"/>
        <charset val="1"/>
      </rPr>
      <t xml:space="preserve">DAT</t>
    </r>
    <r>
      <rPr>
        <sz val="10"/>
        <rFont val="Noto Sans CJK SC"/>
        <family val="2"/>
      </rPr>
      <t xml:space="preserve">以外にも展開の必要性があることがわかってからだと思います」というご認識に基づき、ツールの内容・利用方法は①〜④の主目的報告とは切り離し、参考資料として本シート以降にまとめている。</t>
    </r>
  </si>
  <si>
    <t xml:space="preserve">本資料の構成</t>
  </si>
  <si>
    <r>
      <rPr>
        <sz val="10"/>
        <rFont val="Noto Sans CJK SC"/>
        <family val="2"/>
      </rPr>
      <t xml:space="preserve">・</t>
    </r>
    <r>
      <rPr>
        <sz val="10"/>
        <rFont val="MS Pゴシック"/>
        <family val="0"/>
        <charset val="1"/>
      </rPr>
      <t xml:space="preserve">T-1</t>
    </r>
    <r>
      <rPr>
        <sz val="10"/>
        <rFont val="Noto Sans CJK SC"/>
        <family val="2"/>
      </rPr>
      <t xml:space="preserve">　ツール概要（</t>
    </r>
    <r>
      <rPr>
        <sz val="10"/>
        <rFont val="MS Pゴシック"/>
        <family val="0"/>
        <charset val="1"/>
      </rPr>
      <t xml:space="preserve">DAT AI Test Case Generator v5.0</t>
    </r>
    <r>
      <rPr>
        <sz val="10"/>
        <rFont val="Noto Sans CJK SC"/>
        <family val="2"/>
      </rPr>
      <t xml:space="preserve">）</t>
    </r>
  </si>
  <si>
    <r>
      <rPr>
        <sz val="10"/>
        <rFont val="Noto Sans CJK SC"/>
        <family val="2"/>
      </rPr>
      <t xml:space="preserve">・</t>
    </r>
    <r>
      <rPr>
        <sz val="10"/>
        <rFont val="MS Pゴシック"/>
        <family val="0"/>
        <charset val="1"/>
      </rPr>
      <t xml:space="preserve">T-2</t>
    </r>
    <r>
      <rPr>
        <sz val="10"/>
        <rFont val="Noto Sans CJK SC"/>
        <family val="2"/>
      </rPr>
      <t xml:space="preserve">　ツール比較検証結果（</t>
    </r>
    <r>
      <rPr>
        <sz val="10"/>
        <rFont val="MS Pゴシック"/>
        <family val="0"/>
        <charset val="1"/>
      </rPr>
      <t xml:space="preserve">OpenAI</t>
    </r>
    <r>
      <rPr>
        <sz val="10"/>
        <rFont val="Noto Sans CJK SC"/>
        <family val="2"/>
      </rPr>
      <t xml:space="preserve">版 </t>
    </r>
    <r>
      <rPr>
        <sz val="10"/>
        <rFont val="MS Pゴシック"/>
        <family val="0"/>
        <charset val="1"/>
      </rPr>
      <t xml:space="preserve">vs GitHub Copilot</t>
    </r>
    <r>
      <rPr>
        <sz val="10"/>
        <rFont val="Noto Sans CJK SC"/>
        <family val="2"/>
      </rPr>
      <t xml:space="preserve">版）</t>
    </r>
  </si>
  <si>
    <r>
      <rPr>
        <sz val="10"/>
        <rFont val="Noto Sans CJK SC"/>
        <family val="2"/>
      </rPr>
      <t xml:space="preserve">・</t>
    </r>
    <r>
      <rPr>
        <sz val="10"/>
        <rFont val="MS Pゴシック"/>
        <family val="0"/>
        <charset val="1"/>
      </rPr>
      <t xml:space="preserve">T-3</t>
    </r>
    <r>
      <rPr>
        <sz val="10"/>
        <rFont val="Noto Sans CJK SC"/>
        <family val="2"/>
      </rPr>
      <t xml:space="preserve">　利用マニュアル（起動〜</t>
    </r>
    <r>
      <rPr>
        <sz val="10"/>
        <rFont val="MS Pゴシック"/>
        <family val="0"/>
        <charset val="1"/>
      </rPr>
      <t xml:space="preserve">Excel</t>
    </r>
    <r>
      <rPr>
        <sz val="10"/>
        <rFont val="Noto Sans CJK SC"/>
        <family val="2"/>
      </rPr>
      <t xml:space="preserve">出力までの操作手順）</t>
    </r>
  </si>
  <si>
    <r>
      <rPr>
        <b val="true"/>
        <sz val="16"/>
        <rFont val="MS Pゴシック"/>
        <family val="0"/>
        <charset val="1"/>
      </rPr>
      <t xml:space="preserve">T-1</t>
    </r>
    <r>
      <rPr>
        <b val="true"/>
        <sz val="16"/>
        <rFont val="Noto Sans CJK SC"/>
        <family val="2"/>
      </rPr>
      <t xml:space="preserve">　ツール概要　―　</t>
    </r>
    <r>
      <rPr>
        <b val="true"/>
        <sz val="16"/>
        <rFont val="MS Pゴシック"/>
        <family val="0"/>
        <charset val="1"/>
      </rPr>
      <t xml:space="preserve">DAT AI Test Case Generator v5.0</t>
    </r>
  </si>
  <si>
    <r>
      <rPr>
        <b val="true"/>
        <sz val="12"/>
        <color rgb="FF1F4E78"/>
        <rFont val="MS Pゴシック"/>
        <family val="0"/>
        <charset val="1"/>
      </rPr>
      <t xml:space="preserve">Analyze → Select → Generate</t>
    </r>
    <r>
      <rPr>
        <b val="true"/>
        <sz val="12"/>
        <color rgb="FF1F4E78"/>
        <rFont val="Noto Sans CJK SC"/>
        <family val="2"/>
      </rPr>
      <t xml:space="preserve">　</t>
    </r>
    <r>
      <rPr>
        <b val="true"/>
        <sz val="12"/>
        <color rgb="FF1F4E78"/>
        <rFont val="MS Pゴシック"/>
        <family val="0"/>
        <charset val="1"/>
      </rPr>
      <t xml:space="preserve">GitHub Copilot Bridge </t>
    </r>
    <r>
      <rPr>
        <b val="true"/>
        <sz val="12"/>
        <color rgb="FF1F4E78"/>
        <rFont val="Noto Sans CJK SC"/>
        <family val="2"/>
      </rPr>
      <t xml:space="preserve">を活用した</t>
    </r>
    <r>
      <rPr>
        <b val="true"/>
        <sz val="12"/>
        <color rgb="FF1F4E78"/>
        <rFont val="MS Pゴシック"/>
        <family val="0"/>
        <charset val="1"/>
      </rPr>
      <t xml:space="preserve">AI</t>
    </r>
    <r>
      <rPr>
        <b val="true"/>
        <sz val="12"/>
        <color rgb="FF1F4E78"/>
        <rFont val="Noto Sans CJK SC"/>
        <family val="2"/>
      </rPr>
      <t xml:space="preserve">テストケース自動生成ツール</t>
    </r>
  </si>
  <si>
    <t xml:space="preserve">課題と解決アプローチ</t>
  </si>
  <si>
    <t xml:space="preserve">これまでの課題</t>
  </si>
  <si>
    <t xml:space="preserve">本ツールでの解決</t>
  </si>
  <si>
    <t xml:space="preserve">設計書を人手で読み込み、テスト項目を洗い出す</t>
  </si>
  <si>
    <r>
      <rPr>
        <sz val="10"/>
        <rFont val="Noto Sans CJK SC"/>
        <family val="2"/>
      </rPr>
      <t xml:space="preserve">設計書（フォルダ単位）をアップロードし</t>
    </r>
    <r>
      <rPr>
        <sz val="10"/>
        <rFont val="MS Pゴシック"/>
        <family val="0"/>
        <charset val="1"/>
      </rPr>
      <t xml:space="preserve">AI</t>
    </r>
    <r>
      <rPr>
        <sz val="10"/>
        <rFont val="Noto Sans CJK SC"/>
        <family val="2"/>
      </rPr>
      <t xml:space="preserve">が分析</t>
    </r>
  </si>
  <si>
    <t xml:space="preserve">観点の漏れ・重複に気づきにくい</t>
  </si>
  <si>
    <t xml:space="preserve">抽出された観点をチェックリストで確認・取捨選択</t>
  </si>
  <si>
    <t xml:space="preserve">テストケース作成に時間がかかる</t>
  </si>
  <si>
    <t xml:space="preserve">選択した観点だけを対象にテストケースを自動生成</t>
  </si>
  <si>
    <t xml:space="preserve">テストケース種別ごとに書き分けが必要</t>
  </si>
  <si>
    <r>
      <rPr>
        <sz val="10"/>
        <rFont val="Noto Sans CJK SC"/>
        <family val="2"/>
      </rPr>
      <t xml:space="preserve">重複除去・カバレッジ測定・</t>
    </r>
    <r>
      <rPr>
        <sz val="10"/>
        <rFont val="MS Pゴシック"/>
        <family val="0"/>
        <charset val="1"/>
      </rPr>
      <t xml:space="preserve">Excel</t>
    </r>
    <r>
      <rPr>
        <sz val="10"/>
        <rFont val="Noto Sans CJK SC"/>
        <family val="2"/>
      </rPr>
      <t xml:space="preserve">出力まで一気通貫、生成後も自由編集可能</t>
    </r>
  </si>
  <si>
    <r>
      <rPr>
        <b val="true"/>
        <sz val="10"/>
        <rFont val="Noto Sans CJK SC"/>
        <family val="2"/>
      </rPr>
      <t xml:space="preserve">コア・ワークフロー：</t>
    </r>
    <r>
      <rPr>
        <b val="true"/>
        <sz val="10"/>
        <rFont val="MS Pゴシック"/>
        <family val="0"/>
        <charset val="1"/>
      </rPr>
      <t xml:space="preserve">Analyze → Select → Generate</t>
    </r>
  </si>
  <si>
    <t xml:space="preserve">Step</t>
  </si>
  <si>
    <t xml:space="preserve">内容</t>
  </si>
  <si>
    <t xml:space="preserve">詳細</t>
  </si>
  <si>
    <t xml:space="preserve">① アップロード</t>
  </si>
  <si>
    <r>
      <rPr>
        <sz val="10"/>
        <rFont val="Noto Sans CJK SC"/>
        <family val="2"/>
      </rPr>
      <t xml:space="preserve">ファイル </t>
    </r>
    <r>
      <rPr>
        <sz val="10"/>
        <rFont val="MS Pゴシック"/>
        <family val="0"/>
        <charset val="1"/>
      </rPr>
      <t xml:space="preserve">or </t>
    </r>
    <r>
      <rPr>
        <sz val="10"/>
        <rFont val="Noto Sans CJK SC"/>
        <family val="2"/>
      </rPr>
      <t xml:space="preserve">フォルダ（サブフォルダ含む）</t>
    </r>
  </si>
  <si>
    <t xml:space="preserve">② 種別選択</t>
  </si>
  <si>
    <t xml:space="preserve">結合／単体／総合テストの種別を選択</t>
  </si>
  <si>
    <t xml:space="preserve">③ キーワード入力</t>
  </si>
  <si>
    <t xml:space="preserve">キーワード（必須）／機能名（任意）</t>
  </si>
  <si>
    <r>
      <rPr>
        <sz val="10"/>
        <rFont val="Noto Sans CJK SC"/>
        <family val="2"/>
      </rPr>
      <t xml:space="preserve">④ 分析 </t>
    </r>
    <r>
      <rPr>
        <sz val="10"/>
        <rFont val="MS Pゴシック"/>
        <family val="0"/>
        <charset val="1"/>
      </rPr>
      <t xml:space="preserve">(Analyze)</t>
    </r>
  </si>
  <si>
    <r>
      <rPr>
        <sz val="10"/>
        <rFont val="MS Pゴシック"/>
        <family val="0"/>
        <charset val="1"/>
      </rPr>
      <t xml:space="preserve">AI</t>
    </r>
    <r>
      <rPr>
        <sz val="10"/>
        <rFont val="Noto Sans CJK SC"/>
        <family val="2"/>
      </rPr>
      <t xml:space="preserve">が資料を分析しチェックポイント抽出</t>
    </r>
  </si>
  <si>
    <r>
      <rPr>
        <sz val="10"/>
        <rFont val="Noto Sans CJK SC"/>
        <family val="2"/>
      </rPr>
      <t xml:space="preserve">⑤ 選択 </t>
    </r>
    <r>
      <rPr>
        <sz val="10"/>
        <rFont val="MS Pゴシック"/>
        <family val="0"/>
        <charset val="1"/>
      </rPr>
      <t xml:space="preserve">(Select)</t>
    </r>
  </si>
  <si>
    <t xml:space="preserve">カテゴリ別に確認し対象を取捨選択</t>
  </si>
  <si>
    <r>
      <rPr>
        <sz val="10"/>
        <rFont val="Noto Sans CJK SC"/>
        <family val="2"/>
      </rPr>
      <t xml:space="preserve">⑥ 生成 </t>
    </r>
    <r>
      <rPr>
        <sz val="10"/>
        <rFont val="MS Pゴシック"/>
        <family val="0"/>
        <charset val="1"/>
      </rPr>
      <t xml:space="preserve">(Generate)</t>
    </r>
  </si>
  <si>
    <t xml:space="preserve">選択項目のみを対象にテストケースを生成</t>
  </si>
  <si>
    <r>
      <rPr>
        <i val="true"/>
        <sz val="9"/>
        <rFont val="MS Pゴシック"/>
        <family val="0"/>
        <charset val="1"/>
      </rPr>
      <t xml:space="preserve">※Copilot Bridge</t>
    </r>
    <r>
      <rPr>
        <i val="true"/>
        <sz val="9"/>
        <rFont val="Noto Sans CJK SC"/>
        <family val="2"/>
      </rPr>
      <t xml:space="preserve">が利用できない場合は、資料抽出のみによるフォールバック生成に自動切替。</t>
    </r>
  </si>
  <si>
    <t xml:space="preserve">主要機能一覧</t>
  </si>
  <si>
    <t xml:space="preserve">機能</t>
  </si>
  <si>
    <t xml:space="preserve">フォルダアップロード</t>
  </si>
  <si>
    <t xml:space="preserve">サブフォルダを含むフォルダ単位での資料取り込み</t>
  </si>
  <si>
    <t xml:space="preserve">カテゴリ別チェックリスト</t>
  </si>
  <si>
    <t xml:space="preserve">ビジネスルール／エラーメッセージ／画面遷移／バリデーション等</t>
  </si>
  <si>
    <r>
      <rPr>
        <sz val="10"/>
        <rFont val="MS Pゴシック"/>
        <family val="0"/>
        <charset val="1"/>
      </rPr>
      <t xml:space="preserve">2</t>
    </r>
    <r>
      <rPr>
        <sz val="10"/>
        <rFont val="Noto Sans CJK SC"/>
        <family val="2"/>
      </rPr>
      <t xml:space="preserve">段階カバレッジ測定</t>
    </r>
  </si>
  <si>
    <t xml:space="preserve">分析時：キーワード反映率／生成時：選択項目の反映率</t>
  </si>
  <si>
    <t xml:space="preserve">重複除去</t>
  </si>
  <si>
    <t xml:space="preserve">分析結果・生成結果の両方で重複チェックポイントを自動除去</t>
  </si>
  <si>
    <t xml:space="preserve">編集可能プレビュー</t>
  </si>
  <si>
    <t xml:space="preserve">セル編集・行追加／削除・自動採番、保存前はダウンロード不可</t>
  </si>
  <si>
    <r>
      <rPr>
        <sz val="10"/>
        <rFont val="Noto Sans CJK SC"/>
        <family val="2"/>
      </rPr>
      <t xml:space="preserve">日本語／</t>
    </r>
    <r>
      <rPr>
        <sz val="10"/>
        <rFont val="MS Pゴシック"/>
        <family val="0"/>
        <charset val="1"/>
      </rPr>
      <t xml:space="preserve">English</t>
    </r>
    <r>
      <rPr>
        <sz val="10"/>
        <rFont val="Noto Sans CJK SC"/>
        <family val="2"/>
      </rPr>
      <t xml:space="preserve">切替</t>
    </r>
  </si>
  <si>
    <r>
      <rPr>
        <sz val="10"/>
        <rFont val="MS Pゴシック"/>
        <family val="0"/>
        <charset val="1"/>
      </rPr>
      <t xml:space="preserve">UI</t>
    </r>
    <r>
      <rPr>
        <sz val="10"/>
        <rFont val="Noto Sans CJK SC"/>
        <family val="2"/>
      </rPr>
      <t xml:space="preserve">表示に加え、生成済みテストケースの内容も翻訳</t>
    </r>
  </si>
  <si>
    <t xml:space="preserve">システム構成・コスト特性</t>
  </si>
  <si>
    <r>
      <rPr>
        <sz val="10"/>
        <rFont val="Noto Sans CJK SC"/>
        <family val="2"/>
      </rPr>
      <t xml:space="preserve">ブラウザ</t>
    </r>
    <r>
      <rPr>
        <sz val="10"/>
        <rFont val="MS Pゴシック"/>
        <family val="0"/>
        <charset val="1"/>
      </rPr>
      <t xml:space="preserve">(index.html/script.js) ⇄ Node.js/Express(server.js, port 4321) ⇄ DAT Copilot Bridge(VS Code</t>
    </r>
    <r>
      <rPr>
        <sz val="10"/>
        <rFont val="Noto Sans CJK SC"/>
        <family val="2"/>
      </rPr>
      <t xml:space="preserve">拡張機能</t>
    </r>
    <r>
      <rPr>
        <sz val="10"/>
        <rFont val="MS Pゴシック"/>
        <family val="0"/>
        <charset val="1"/>
      </rPr>
      <t xml:space="preserve">) ⇄ GitHub Copilot(vscode.lm API)
GitHub Copilot</t>
    </r>
    <r>
      <rPr>
        <sz val="10"/>
        <rFont val="Noto Sans CJK SC"/>
        <family val="2"/>
      </rPr>
      <t xml:space="preserve">をブラウザ拡張機能経由で呼び出すため、</t>
    </r>
    <r>
      <rPr>
        <sz val="10"/>
        <rFont val="MS Pゴシック"/>
        <family val="0"/>
        <charset val="1"/>
      </rPr>
      <t xml:space="preserve">OpenAI</t>
    </r>
    <r>
      <rPr>
        <sz val="10"/>
        <rFont val="Noto Sans CJK SC"/>
        <family val="2"/>
      </rPr>
      <t xml:space="preserve">等の外部</t>
    </r>
    <r>
      <rPr>
        <sz val="10"/>
        <rFont val="MS Pゴシック"/>
        <family val="0"/>
        <charset val="1"/>
      </rPr>
      <t xml:space="preserve">API</t>
    </r>
    <r>
      <rPr>
        <sz val="10"/>
        <rFont val="Noto Sans CJK SC"/>
        <family val="2"/>
      </rPr>
      <t xml:space="preserve">利用料は発生しない（</t>
    </r>
    <r>
      <rPr>
        <sz val="10"/>
        <rFont val="MS Pゴシック"/>
        <family val="0"/>
        <charset val="1"/>
      </rPr>
      <t xml:space="preserve">GitHub Copilot</t>
    </r>
    <r>
      <rPr>
        <sz val="10"/>
        <rFont val="Noto Sans CJK SC"/>
        <family val="2"/>
      </rPr>
      <t xml:space="preserve">ライセンスのみで稼働）。</t>
    </r>
    <r>
      <rPr>
        <sz val="10"/>
        <rFont val="MS Pゴシック"/>
        <family val="0"/>
        <charset val="1"/>
      </rPr>
      <t xml:space="preserve">Copilot Bridge</t>
    </r>
    <r>
      <rPr>
        <sz val="10"/>
        <rFont val="Noto Sans CJK SC"/>
        <family val="2"/>
      </rPr>
      <t xml:space="preserve">未起動・応答不可時はフォールバックロジックへ自動切替。</t>
    </r>
  </si>
  <si>
    <r>
      <rPr>
        <b val="true"/>
        <sz val="16"/>
        <rFont val="MS Pゴシック"/>
        <family val="0"/>
        <charset val="1"/>
      </rPr>
      <t xml:space="preserve">T-2</t>
    </r>
    <r>
      <rPr>
        <b val="true"/>
        <sz val="16"/>
        <rFont val="Noto Sans CJK SC"/>
        <family val="2"/>
      </rPr>
      <t xml:space="preserve">　ツール比較検証結果　―　</t>
    </r>
    <r>
      <rPr>
        <b val="true"/>
        <sz val="16"/>
        <rFont val="MS Pゴシック"/>
        <family val="0"/>
        <charset val="1"/>
      </rPr>
      <t xml:space="preserve">OpenAI</t>
    </r>
    <r>
      <rPr>
        <b val="true"/>
        <sz val="16"/>
        <rFont val="Noto Sans CJK SC"/>
        <family val="2"/>
      </rPr>
      <t xml:space="preserve">版 </t>
    </r>
    <r>
      <rPr>
        <b val="true"/>
        <sz val="16"/>
        <rFont val="MS Pゴシック"/>
        <family val="0"/>
        <charset val="1"/>
      </rPr>
      <t xml:space="preserve">vs GitHub Copilot</t>
    </r>
    <r>
      <rPr>
        <b val="true"/>
        <sz val="16"/>
        <rFont val="Noto Sans CJK SC"/>
        <family val="2"/>
      </rPr>
      <t xml:space="preserve">版（ログイン機能サンプル）</t>
    </r>
  </si>
  <si>
    <r>
      <rPr>
        <sz val="10"/>
        <rFont val="Noto Sans CJK SC"/>
        <family val="2"/>
      </rPr>
      <t xml:space="preserve">対象機能：</t>
    </r>
    <r>
      <rPr>
        <sz val="10"/>
        <rFont val="MS Pゴシック"/>
        <family val="0"/>
        <charset val="1"/>
      </rPr>
      <t xml:space="preserve">LOGIN-001</t>
    </r>
    <r>
      <rPr>
        <sz val="10"/>
        <rFont val="Noto Sans CJK SC"/>
        <family val="2"/>
      </rPr>
      <t xml:space="preserve">（ログイン機能）／検証期間：</t>
    </r>
    <r>
      <rPr>
        <sz val="10"/>
        <rFont val="MS Pゴシック"/>
        <family val="0"/>
        <charset val="1"/>
      </rPr>
      <t xml:space="preserve">2026/7/3</t>
    </r>
    <r>
      <rPr>
        <sz val="10"/>
        <rFont val="Noto Sans CJK SC"/>
        <family val="2"/>
      </rPr>
      <t xml:space="preserve">〜</t>
    </r>
    <r>
      <rPr>
        <sz val="10"/>
        <rFont val="MS Pゴシック"/>
        <family val="0"/>
        <charset val="1"/>
      </rPr>
      <t xml:space="preserve">2026/7/6
</t>
    </r>
    <r>
      <rPr>
        <sz val="10"/>
        <rFont val="Noto Sans CJK SC"/>
        <family val="2"/>
      </rPr>
      <t xml:space="preserve">目的：設計書のみを根拠とした独自基準（</t>
    </r>
    <r>
      <rPr>
        <sz val="10"/>
        <rFont val="MS Pゴシック"/>
        <family val="0"/>
        <charset val="1"/>
      </rPr>
      <t xml:space="preserve">21</t>
    </r>
    <r>
      <rPr>
        <sz val="10"/>
        <rFont val="Noto Sans CJK SC"/>
        <family val="2"/>
      </rPr>
      <t xml:space="preserve">項目チェックリスト）で</t>
    </r>
    <r>
      <rPr>
        <sz val="10"/>
        <rFont val="MS Pゴシック"/>
        <family val="0"/>
        <charset val="1"/>
      </rPr>
      <t xml:space="preserve">AI</t>
    </r>
    <r>
      <rPr>
        <sz val="10"/>
        <rFont val="Noto Sans CJK SC"/>
        <family val="2"/>
      </rPr>
      <t xml:space="preserve">ツールのテストケース生成能力を定量比較し、</t>
    </r>
    <r>
      <rPr>
        <sz val="10"/>
        <rFont val="MS Pゴシック"/>
        <family val="0"/>
        <charset val="1"/>
      </rPr>
      <t xml:space="preserve">QA</t>
    </r>
    <r>
      <rPr>
        <sz val="10"/>
        <rFont val="Noto Sans CJK SC"/>
        <family val="2"/>
      </rPr>
      <t xml:space="preserve">標準ツールとして最適な</t>
    </r>
    <r>
      <rPr>
        <sz val="10"/>
        <rFont val="MS Pゴシック"/>
        <family val="0"/>
        <charset val="1"/>
      </rPr>
      <t xml:space="preserve">AI</t>
    </r>
    <r>
      <rPr>
        <sz val="10"/>
        <rFont val="Noto Sans CJK SC"/>
        <family val="2"/>
      </rPr>
      <t xml:space="preserve">を選定する。</t>
    </r>
  </si>
  <si>
    <t xml:space="preserve">評価項目</t>
  </si>
  <si>
    <r>
      <rPr>
        <b val="true"/>
        <sz val="10"/>
        <color rgb="FFFFFFFF"/>
        <rFont val="MS Pゴシック"/>
        <family val="0"/>
        <charset val="1"/>
      </rPr>
      <t xml:space="preserve">OpenAI</t>
    </r>
    <r>
      <rPr>
        <b val="true"/>
        <sz val="10"/>
        <color rgb="FFFFFFFF"/>
        <rFont val="Noto Sans CJK SC"/>
        <family val="2"/>
      </rPr>
      <t xml:space="preserve">版</t>
    </r>
  </si>
  <si>
    <r>
      <rPr>
        <b val="true"/>
        <sz val="10"/>
        <color rgb="FFFFFFFF"/>
        <rFont val="MS Pゴシック"/>
        <family val="0"/>
        <charset val="1"/>
      </rPr>
      <t xml:space="preserve">GitHub Copilot</t>
    </r>
    <r>
      <rPr>
        <b val="true"/>
        <sz val="10"/>
        <color rgb="FFFFFFFF"/>
        <rFont val="Noto Sans CJK SC"/>
        <family val="2"/>
      </rPr>
      <t xml:space="preserve">版</t>
    </r>
  </si>
  <si>
    <t xml:space="preserve">評価・コメント</t>
  </si>
  <si>
    <t xml:space="preserve">生成テストケース数</t>
  </si>
  <si>
    <r>
      <rPr>
        <sz val="10"/>
        <rFont val="MS Pゴシック"/>
        <family val="0"/>
        <charset val="1"/>
      </rPr>
      <t xml:space="preserve">18</t>
    </r>
    <r>
      <rPr>
        <sz val="10"/>
        <rFont val="Noto Sans CJK SC"/>
        <family val="2"/>
      </rPr>
      <t xml:space="preserve">件</t>
    </r>
  </si>
  <si>
    <r>
      <rPr>
        <sz val="10"/>
        <rFont val="MS Pゴシック"/>
        <family val="0"/>
        <charset val="1"/>
      </rPr>
      <t xml:space="preserve">24</t>
    </r>
    <r>
      <rPr>
        <sz val="10"/>
        <rFont val="Noto Sans CJK SC"/>
        <family val="2"/>
      </rPr>
      <t xml:space="preserve">件</t>
    </r>
  </si>
  <si>
    <r>
      <rPr>
        <sz val="10"/>
        <rFont val="Noto Sans CJK SC"/>
        <family val="2"/>
      </rPr>
      <t xml:space="preserve">件数は</t>
    </r>
    <r>
      <rPr>
        <sz val="10"/>
        <rFont val="MS Pゴシック"/>
        <family val="0"/>
        <charset val="1"/>
      </rPr>
      <t xml:space="preserve">Copilot</t>
    </r>
    <r>
      <rPr>
        <sz val="10"/>
        <rFont val="Noto Sans CJK SC"/>
        <family val="2"/>
      </rPr>
      <t xml:space="preserve">版が多いが、内容の具体性は</t>
    </r>
    <r>
      <rPr>
        <sz val="10"/>
        <rFont val="MS Pゴシック"/>
        <family val="0"/>
        <charset val="1"/>
      </rPr>
      <t xml:space="preserve">OpenAI</t>
    </r>
    <r>
      <rPr>
        <sz val="10"/>
        <rFont val="Noto Sans CJK SC"/>
        <family val="2"/>
      </rPr>
      <t xml:space="preserve">版が優位</t>
    </r>
  </si>
  <si>
    <t xml:space="preserve">ツール自己申告カバレッジ</t>
  </si>
  <si>
    <t xml:space="preserve">85.4%</t>
  </si>
  <si>
    <t xml:space="preserve">67.9%</t>
  </si>
  <si>
    <t xml:space="preserve">候補データの抽出範囲がツール依存のため参考値</t>
  </si>
  <si>
    <r>
      <rPr>
        <sz val="10"/>
        <rFont val="Noto Sans CJK SC"/>
        <family val="2"/>
      </rPr>
      <t xml:space="preserve">設計書ベース実質カバレッジ（</t>
    </r>
    <r>
      <rPr>
        <sz val="10"/>
        <rFont val="MS Pゴシック"/>
        <family val="0"/>
        <charset val="1"/>
      </rPr>
      <t xml:space="preserve">21</t>
    </r>
    <r>
      <rPr>
        <sz val="10"/>
        <rFont val="Noto Sans CJK SC"/>
        <family val="2"/>
      </rPr>
      <t xml:space="preserve">項目）</t>
    </r>
  </si>
  <si>
    <r>
      <rPr>
        <sz val="10"/>
        <rFont val="Noto Sans CJK SC"/>
        <family val="2"/>
      </rPr>
      <t xml:space="preserve">約</t>
    </r>
    <r>
      <rPr>
        <sz val="10"/>
        <rFont val="MS Pゴシック"/>
        <family val="0"/>
        <charset val="1"/>
      </rPr>
      <t xml:space="preserve">93%</t>
    </r>
    <r>
      <rPr>
        <sz val="10"/>
        <rFont val="Noto Sans CJK SC"/>
        <family val="2"/>
      </rPr>
      <t xml:space="preserve">（○</t>
    </r>
    <r>
      <rPr>
        <sz val="10"/>
        <rFont val="MS Pゴシック"/>
        <family val="0"/>
        <charset val="1"/>
      </rPr>
      <t xml:space="preserve">18</t>
    </r>
    <r>
      <rPr>
        <sz val="10"/>
        <rFont val="Noto Sans CJK SC"/>
        <family val="2"/>
      </rPr>
      <t xml:space="preserve">／△</t>
    </r>
    <r>
      <rPr>
        <sz val="10"/>
        <rFont val="MS Pゴシック"/>
        <family val="0"/>
        <charset val="1"/>
      </rPr>
      <t xml:space="preserve">3</t>
    </r>
    <r>
      <rPr>
        <sz val="10"/>
        <rFont val="Noto Sans CJK SC"/>
        <family val="2"/>
      </rPr>
      <t xml:space="preserve">）</t>
    </r>
  </si>
  <si>
    <r>
      <rPr>
        <sz val="10"/>
        <rFont val="Noto Sans CJK SC"/>
        <family val="2"/>
      </rPr>
      <t xml:space="preserve">約</t>
    </r>
    <r>
      <rPr>
        <sz val="10"/>
        <rFont val="MS Pゴシック"/>
        <family val="0"/>
        <charset val="1"/>
      </rPr>
      <t xml:space="preserve">68%</t>
    </r>
    <r>
      <rPr>
        <sz val="10"/>
        <rFont val="Noto Sans CJK SC"/>
        <family val="2"/>
      </rPr>
      <t xml:space="preserve">（○</t>
    </r>
    <r>
      <rPr>
        <sz val="10"/>
        <rFont val="MS Pゴシック"/>
        <family val="0"/>
        <charset val="1"/>
      </rPr>
      <t xml:space="preserve">11</t>
    </r>
    <r>
      <rPr>
        <sz val="10"/>
        <rFont val="Noto Sans CJK SC"/>
        <family val="2"/>
      </rPr>
      <t xml:space="preserve">／△</t>
    </r>
    <r>
      <rPr>
        <sz val="10"/>
        <rFont val="MS Pゴシック"/>
        <family val="0"/>
        <charset val="1"/>
      </rPr>
      <t xml:space="preserve">5</t>
    </r>
    <r>
      <rPr>
        <sz val="10"/>
        <rFont val="Noto Sans CJK SC"/>
        <family val="2"/>
      </rPr>
      <t xml:space="preserve">）</t>
    </r>
  </si>
  <si>
    <t xml:space="preserve">自己申告カバレッジとは評価が逆転する結果</t>
  </si>
  <si>
    <t xml:space="preserve">境界値テストの具体性</t>
  </si>
  <si>
    <t xml:space="preserve">○ 具体的数値あり</t>
  </si>
  <si>
    <t xml:space="preserve">✗ 汎用的記載のみ</t>
  </si>
  <si>
    <r>
      <rPr>
        <sz val="10"/>
        <rFont val="MS Pゴシック"/>
        <family val="0"/>
        <charset val="1"/>
      </rPr>
      <t xml:space="preserve">21</t>
    </r>
    <r>
      <rPr>
        <sz val="10"/>
        <rFont val="Noto Sans CJK SC"/>
        <family val="2"/>
      </rPr>
      <t xml:space="preserve">文字／</t>
    </r>
    <r>
      <rPr>
        <sz val="10"/>
        <rFont val="MS Pゴシック"/>
        <family val="0"/>
        <charset val="1"/>
      </rPr>
      <t xml:space="preserve">7</t>
    </r>
    <r>
      <rPr>
        <sz val="10"/>
        <rFont val="Noto Sans CJK SC"/>
        <family val="2"/>
      </rPr>
      <t xml:space="preserve">文字等、実行可能な入力データの有無</t>
    </r>
  </si>
  <si>
    <t xml:space="preserve">アカウントロック関連テスト</t>
  </si>
  <si>
    <r>
      <rPr>
        <sz val="10"/>
        <rFont val="MS Pゴシック"/>
        <family val="0"/>
        <charset val="1"/>
      </rPr>
      <t xml:space="preserve">4</t>
    </r>
    <r>
      <rPr>
        <sz val="10"/>
        <rFont val="Noto Sans CJK SC"/>
        <family val="2"/>
      </rPr>
      <t xml:space="preserve">件（フル対応）</t>
    </r>
  </si>
  <si>
    <r>
      <rPr>
        <sz val="10"/>
        <rFont val="MS Pゴシック"/>
        <family val="0"/>
        <charset val="1"/>
      </rPr>
      <t xml:space="preserve">0</t>
    </r>
    <r>
      <rPr>
        <sz val="10"/>
        <rFont val="Noto Sans CJK SC"/>
        <family val="2"/>
      </rPr>
      <t xml:space="preserve">件（該当なし）</t>
    </r>
  </si>
  <si>
    <r>
      <rPr>
        <sz val="10"/>
        <rFont val="Noto Sans CJK SC"/>
        <family val="2"/>
      </rPr>
      <t xml:space="preserve">設計書の業務ルールに明記された要件が</t>
    </r>
    <r>
      <rPr>
        <sz val="10"/>
        <rFont val="MS Pゴシック"/>
        <family val="0"/>
        <charset val="1"/>
      </rPr>
      <t xml:space="preserve">Copilot</t>
    </r>
    <r>
      <rPr>
        <sz val="10"/>
        <rFont val="Noto Sans CJK SC"/>
        <family val="2"/>
      </rPr>
      <t xml:space="preserve">版に欠落</t>
    </r>
  </si>
  <si>
    <t xml:space="preserve">担当者満足度</t>
  </si>
  <si>
    <t xml:space="preserve">4.6/5</t>
  </si>
  <si>
    <t xml:space="preserve">3.4/5</t>
  </si>
  <si>
    <r>
      <rPr>
        <sz val="10"/>
        <rFont val="MS Pゴシック"/>
        <family val="0"/>
        <charset val="1"/>
      </rPr>
      <t xml:space="preserve">OpenAI</t>
    </r>
    <r>
      <rPr>
        <sz val="10"/>
        <rFont val="Noto Sans CJK SC"/>
        <family val="2"/>
      </rPr>
      <t xml:space="preserve">が高評価</t>
    </r>
  </si>
  <si>
    <r>
      <rPr>
        <sz val="10"/>
        <rFont val="Noto Sans CJK SC"/>
        <family val="2"/>
      </rPr>
      <t xml:space="preserve">コスト（</t>
    </r>
    <r>
      <rPr>
        <sz val="10"/>
        <rFont val="MS Pゴシック"/>
        <family val="0"/>
        <charset val="1"/>
      </rPr>
      <t xml:space="preserve">PoC</t>
    </r>
    <r>
      <rPr>
        <sz val="10"/>
        <rFont val="Noto Sans CJK SC"/>
        <family val="2"/>
      </rPr>
      <t xml:space="preserve">実績）</t>
    </r>
  </si>
  <si>
    <r>
      <rPr>
        <sz val="10"/>
        <rFont val="Noto Sans CJK SC"/>
        <family val="2"/>
      </rPr>
      <t xml:space="preserve">約</t>
    </r>
    <r>
      <rPr>
        <sz val="10"/>
        <rFont val="MS Pゴシック"/>
        <family val="0"/>
        <charset val="1"/>
      </rPr>
      <t xml:space="preserve">$0.48</t>
    </r>
  </si>
  <si>
    <r>
      <rPr>
        <sz val="10"/>
        <rFont val="Noto Sans CJK SC"/>
        <family val="2"/>
      </rPr>
      <t xml:space="preserve">約</t>
    </r>
    <r>
      <rPr>
        <sz val="10"/>
        <rFont val="MS Pゴシック"/>
        <family val="0"/>
        <charset val="1"/>
      </rPr>
      <t xml:space="preserve">$0.15</t>
    </r>
  </si>
  <si>
    <r>
      <rPr>
        <sz val="10"/>
        <rFont val="MS Pゴシック"/>
        <family val="0"/>
        <charset val="1"/>
      </rPr>
      <t xml:space="preserve">Copilot</t>
    </r>
    <r>
      <rPr>
        <sz val="10"/>
        <rFont val="Noto Sans CJK SC"/>
        <family val="2"/>
      </rPr>
      <t xml:space="preserve">が安価</t>
    </r>
  </si>
  <si>
    <r>
      <rPr>
        <b val="true"/>
        <sz val="10"/>
        <rFont val="Noto Sans CJK SC"/>
        <family val="2"/>
      </rPr>
      <t xml:space="preserve">★本案件（</t>
    </r>
    <r>
      <rPr>
        <b val="true"/>
        <sz val="10"/>
        <rFont val="MS Pゴシック"/>
        <family val="0"/>
        <charset val="1"/>
      </rPr>
      <t xml:space="preserve">1158</t>
    </r>
    <r>
      <rPr>
        <b val="true"/>
        <sz val="10"/>
        <rFont val="Noto Sans CJK SC"/>
        <family val="2"/>
      </rPr>
      <t xml:space="preserve">）との関連：</t>
    </r>
    <r>
      <rPr>
        <b val="true"/>
        <sz val="10"/>
        <rFont val="MS Pゴシック"/>
        <family val="0"/>
        <charset val="1"/>
      </rPr>
      <t xml:space="preserve">Business Rule Analysis</t>
    </r>
    <r>
      <rPr>
        <b val="true"/>
        <sz val="10"/>
        <rFont val="Noto Sans CJK SC"/>
        <family val="2"/>
      </rPr>
      <t xml:space="preserve">／</t>
    </r>
    <r>
      <rPr>
        <b val="true"/>
        <sz val="10"/>
        <rFont val="MS Pゴシック"/>
        <family val="0"/>
        <charset val="1"/>
      </rPr>
      <t xml:space="preserve">Detail Design Analysis</t>
    </r>
    <r>
      <rPr>
        <b val="true"/>
        <sz val="10"/>
        <rFont val="Noto Sans CJK SC"/>
        <family val="2"/>
      </rPr>
      <t xml:space="preserve">の評価</t>
    </r>
  </si>
  <si>
    <t xml:space="preserve">GitHub Copilot</t>
  </si>
  <si>
    <t xml:space="preserve">OpenAI GPT</t>
  </si>
  <si>
    <t xml:space="preserve">推奨</t>
  </si>
  <si>
    <t xml:space="preserve">Detail Design Analysis</t>
  </si>
  <si>
    <t xml:space="preserve">Fair</t>
  </si>
  <si>
    <t xml:space="preserve">Excellent</t>
  </si>
  <si>
    <t xml:space="preserve">OpenAI</t>
  </si>
  <si>
    <t xml:space="preserve">Business Rule Analysis</t>
  </si>
  <si>
    <t xml:space="preserve">Boundary Value Analysis</t>
  </si>
  <si>
    <r>
      <rPr>
        <sz val="10"/>
        <rFont val="Noto Sans CJK SC"/>
        <family val="2"/>
      </rPr>
      <t xml:space="preserve">これは、本報告②</t>
    </r>
    <r>
      <rPr>
        <sz val="10"/>
        <rFont val="MS Pゴシック"/>
        <family val="0"/>
        <charset val="1"/>
      </rPr>
      <t xml:space="preserve">-2</t>
    </r>
    <r>
      <rPr>
        <sz val="10"/>
        <rFont val="Noto Sans CJK SC"/>
        <family val="2"/>
      </rPr>
      <t xml:space="preserve">で示した「</t>
    </r>
    <r>
      <rPr>
        <sz val="10"/>
        <rFont val="MS Pゴシック"/>
        <family val="0"/>
        <charset val="1"/>
      </rPr>
      <t xml:space="preserve">AI</t>
    </r>
    <r>
      <rPr>
        <sz val="10"/>
        <rFont val="Noto Sans CJK SC"/>
        <family val="2"/>
      </rPr>
      <t xml:space="preserve">生成の段階では『バッチ取消フラグ』のような詳細設計書レベルのビジネスルール・境界値ロジックを検出できなかった」という実務上の観察結果と整合する。現行ツール（</t>
    </r>
    <r>
      <rPr>
        <sz val="10"/>
        <rFont val="MS Pゴシック"/>
        <family val="0"/>
        <charset val="1"/>
      </rPr>
      <t xml:space="preserve">GitHub Copilot Bridge</t>
    </r>
    <r>
      <rPr>
        <sz val="10"/>
        <rFont val="Noto Sans CJK SC"/>
        <family val="2"/>
      </rPr>
      <t xml:space="preserve">版）は詳細設計書の精読・ビジネスルール分析を「</t>
    </r>
    <r>
      <rPr>
        <sz val="10"/>
        <rFont val="MS Pゴシック"/>
        <family val="0"/>
        <charset val="1"/>
      </rPr>
      <t xml:space="preserve">Fair</t>
    </r>
    <r>
      <rPr>
        <sz val="10"/>
        <rFont val="Noto Sans CJK SC"/>
        <family val="2"/>
      </rPr>
      <t xml:space="preserve">」と自己評価されており、人による設計書精読（③段階）を補完工程として組み込む必要性を裏付けている。</t>
    </r>
  </si>
  <si>
    <t xml:space="preserve">結論と推奨（ツール比較検証時点のもの）</t>
  </si>
  <si>
    <r>
      <rPr>
        <sz val="10"/>
        <rFont val="Noto Sans CJK SC"/>
        <family val="2"/>
      </rPr>
      <t xml:space="preserve">基本設計書・詳細設計書の記載内容のみを基準とした場合、</t>
    </r>
    <r>
      <rPr>
        <sz val="10"/>
        <rFont val="MS Pゴシック"/>
        <family val="0"/>
        <charset val="1"/>
      </rPr>
      <t xml:space="preserve">OpenAI</t>
    </r>
    <r>
      <rPr>
        <sz val="10"/>
        <rFont val="Noto Sans CJK SC"/>
        <family val="2"/>
      </rPr>
      <t xml:space="preserve">直接</t>
    </r>
    <r>
      <rPr>
        <sz val="10"/>
        <rFont val="MS Pゴシック"/>
        <family val="0"/>
        <charset val="1"/>
      </rPr>
      <t xml:space="preserve">API</t>
    </r>
    <r>
      <rPr>
        <sz val="10"/>
        <rFont val="Noto Sans CJK SC"/>
        <family val="2"/>
      </rPr>
      <t xml:space="preserve">版の方が実質カバレッジ（約</t>
    </r>
    <r>
      <rPr>
        <sz val="10"/>
        <rFont val="MS Pゴシック"/>
        <family val="0"/>
        <charset val="1"/>
      </rPr>
      <t xml:space="preserve">93%</t>
    </r>
    <r>
      <rPr>
        <sz val="10"/>
        <rFont val="Noto Sans CJK SC"/>
        <family val="2"/>
      </rPr>
      <t xml:space="preserve">）およびテストデータの具体性の両面で優位。</t>
    </r>
    <r>
      <rPr>
        <sz val="10"/>
        <rFont val="MS Pゴシック"/>
        <family val="0"/>
        <charset val="1"/>
      </rPr>
      <t xml:space="preserve">GitHub Copilot</t>
    </r>
    <r>
      <rPr>
        <sz val="10"/>
        <rFont val="Noto Sans CJK SC"/>
        <family val="2"/>
      </rPr>
      <t xml:space="preserve">版は開発者以外の</t>
    </r>
    <r>
      <rPr>
        <sz val="10"/>
        <rFont val="MS Pゴシック"/>
        <family val="0"/>
        <charset val="1"/>
      </rPr>
      <t xml:space="preserve">QA</t>
    </r>
    <r>
      <rPr>
        <sz val="10"/>
        <rFont val="Noto Sans CJK SC"/>
        <family val="2"/>
      </rPr>
      <t xml:space="preserve">担当者でも扱いやすいワークフローという利点はあるが、具体的な入力値・境界値・アカウントロック観点の欠落に課題があり、実運用投入前に生成ロジックの改善または人的レビュー工程の強化が必要。</t>
    </r>
  </si>
  <si>
    <r>
      <rPr>
        <b val="true"/>
        <sz val="16"/>
        <rFont val="MS Pゴシック"/>
        <family val="0"/>
        <charset val="1"/>
      </rPr>
      <t xml:space="preserve">T-3</t>
    </r>
    <r>
      <rPr>
        <b val="true"/>
        <sz val="16"/>
        <rFont val="Noto Sans CJK SC"/>
        <family val="2"/>
      </rPr>
      <t xml:space="preserve">　利用マニュアル　―　</t>
    </r>
    <r>
      <rPr>
        <b val="true"/>
        <sz val="16"/>
        <rFont val="MS Pゴシック"/>
        <family val="0"/>
        <charset val="1"/>
      </rPr>
      <t xml:space="preserve">DAT AI Test Case Generator v5.0</t>
    </r>
  </si>
  <si>
    <r>
      <rPr>
        <b val="true"/>
        <sz val="12"/>
        <color rgb="FF1F4E78"/>
        <rFont val="Noto Sans CJK SC"/>
        <family val="2"/>
      </rPr>
      <t xml:space="preserve">起動から </t>
    </r>
    <r>
      <rPr>
        <b val="true"/>
        <sz val="12"/>
        <color rgb="FF1F4E78"/>
        <rFont val="MS Pゴシック"/>
        <family val="0"/>
        <charset val="1"/>
      </rPr>
      <t xml:space="preserve">Excel </t>
    </r>
    <r>
      <rPr>
        <b val="true"/>
        <sz val="12"/>
        <color rgb="FF1F4E78"/>
        <rFont val="Noto Sans CJK SC"/>
        <family val="2"/>
      </rPr>
      <t xml:space="preserve">出力までの操作手順（</t>
    </r>
    <r>
      <rPr>
        <b val="true"/>
        <sz val="12"/>
        <color rgb="FF1F4E78"/>
        <rFont val="MS Pゴシック"/>
        <family val="0"/>
        <charset val="1"/>
      </rPr>
      <t xml:space="preserve">DAT-SONAR-FR</t>
    </r>
    <r>
      <rPr>
        <b val="true"/>
        <sz val="12"/>
        <color rgb="FF1F4E78"/>
        <rFont val="Noto Sans CJK SC"/>
        <family val="2"/>
      </rPr>
      <t xml:space="preserve">／</t>
    </r>
    <r>
      <rPr>
        <b val="true"/>
        <sz val="12"/>
        <color rgb="FF1F4E78"/>
        <rFont val="MS Pゴシック"/>
        <family val="0"/>
        <charset val="1"/>
      </rPr>
      <t xml:space="preserve">2026</t>
    </r>
    <r>
      <rPr>
        <b val="true"/>
        <sz val="12"/>
        <color rgb="FF1F4E78"/>
        <rFont val="Noto Sans CJK SC"/>
        <family val="2"/>
      </rPr>
      <t xml:space="preserve">年</t>
    </r>
    <r>
      <rPr>
        <b val="true"/>
        <sz val="12"/>
        <color rgb="FF1F4E78"/>
        <rFont val="MS Pゴシック"/>
        <family val="0"/>
        <charset val="1"/>
      </rPr>
      <t xml:space="preserve">7</t>
    </r>
    <r>
      <rPr>
        <b val="true"/>
        <sz val="12"/>
        <color rgb="FF1F4E78"/>
        <rFont val="Noto Sans CJK SC"/>
        <family val="2"/>
      </rPr>
      <t xml:space="preserve">月</t>
    </r>
    <r>
      <rPr>
        <b val="true"/>
        <sz val="12"/>
        <color rgb="FF1F4E78"/>
        <rFont val="MS Pゴシック"/>
        <family val="0"/>
        <charset val="1"/>
      </rPr>
      <t xml:space="preserve">20</t>
    </r>
    <r>
      <rPr>
        <b val="true"/>
        <sz val="12"/>
        <color rgb="FF1F4E78"/>
        <rFont val="Noto Sans CJK SC"/>
        <family val="2"/>
      </rPr>
      <t xml:space="preserve">日版）</t>
    </r>
  </si>
  <si>
    <t xml:space="preserve">事前準備（初回のみ）</t>
  </si>
  <si>
    <r>
      <rPr>
        <sz val="10"/>
        <rFont val="Noto Sans CJK SC"/>
        <family val="2"/>
      </rPr>
      <t xml:space="preserve">・</t>
    </r>
    <r>
      <rPr>
        <sz val="10"/>
        <rFont val="MS Pゴシック"/>
        <family val="0"/>
        <charset val="1"/>
      </rPr>
      <t xml:space="preserve">copilot-bridge</t>
    </r>
    <r>
      <rPr>
        <sz val="10"/>
        <rFont val="Noto Sans CJK SC"/>
        <family val="2"/>
      </rPr>
      <t xml:space="preserve">フォルダ内の</t>
    </r>
    <r>
      <rPr>
        <sz val="10"/>
        <rFont val="MS Pゴシック"/>
        <family val="0"/>
        <charset val="1"/>
      </rPr>
      <t xml:space="preserve">install-extension.bat</t>
    </r>
    <r>
      <rPr>
        <sz val="10"/>
        <rFont val="Noto Sans CJK SC"/>
        <family val="2"/>
      </rPr>
      <t xml:space="preserve">を実行</t>
    </r>
  </si>
  <si>
    <r>
      <rPr>
        <sz val="10"/>
        <rFont val="Noto Sans CJK SC"/>
        <family val="2"/>
      </rPr>
      <t xml:space="preserve">・完了後、</t>
    </r>
    <r>
      <rPr>
        <sz val="10"/>
        <rFont val="MS Pゴシック"/>
        <family val="0"/>
        <charset val="1"/>
      </rPr>
      <t xml:space="preserve">VS Code</t>
    </r>
    <r>
      <rPr>
        <sz val="10"/>
        <rFont val="Noto Sans CJK SC"/>
        <family val="2"/>
      </rPr>
      <t xml:space="preserve">を開くたびに</t>
    </r>
    <r>
      <rPr>
        <sz val="10"/>
        <rFont val="MS Pゴシック"/>
        <family val="0"/>
        <charset val="1"/>
      </rPr>
      <t xml:space="preserve">DAT Copilot Bridge</t>
    </r>
    <r>
      <rPr>
        <sz val="10"/>
        <rFont val="Noto Sans CJK SC"/>
        <family val="2"/>
      </rPr>
      <t xml:space="preserve">が自動起動</t>
    </r>
  </si>
  <si>
    <t xml:space="preserve">起動方法</t>
  </si>
  <si>
    <r>
      <rPr>
        <sz val="10"/>
        <rFont val="Noto Sans CJK SC"/>
        <family val="2"/>
      </rPr>
      <t xml:space="preserve">・</t>
    </r>
    <r>
      <rPr>
        <sz val="10"/>
        <rFont val="MS Pゴシック"/>
        <family val="0"/>
        <charset val="1"/>
      </rPr>
      <t xml:space="preserve">start_DAT_Copilot_Tool.bat</t>
    </r>
    <r>
      <rPr>
        <sz val="10"/>
        <rFont val="Noto Sans CJK SC"/>
        <family val="2"/>
      </rPr>
      <t xml:space="preserve">をダブルクリック</t>
    </r>
  </si>
  <si>
    <r>
      <rPr>
        <sz val="10"/>
        <rFont val="Noto Sans CJK SC"/>
        <family val="2"/>
      </rPr>
      <t xml:space="preserve">・</t>
    </r>
    <r>
      <rPr>
        <sz val="10"/>
        <rFont val="MS Pゴシック"/>
        <family val="0"/>
        <charset val="1"/>
      </rPr>
      <t xml:space="preserve">Copilot Bridge</t>
    </r>
    <r>
      <rPr>
        <sz val="10"/>
        <rFont val="Noto Sans CJK SC"/>
        <family val="2"/>
      </rPr>
      <t xml:space="preserve">起動 → サーバー起動 → ブラウザが自動的に開く</t>
    </r>
  </si>
  <si>
    <r>
      <rPr>
        <b val="true"/>
        <sz val="10"/>
        <rFont val="MS Pゴシック"/>
        <family val="0"/>
        <charset val="1"/>
      </rPr>
      <t xml:space="preserve">Step 1</t>
    </r>
    <r>
      <rPr>
        <b val="true"/>
        <sz val="10"/>
        <rFont val="Noto Sans CJK SC"/>
        <family val="2"/>
      </rPr>
      <t xml:space="preserve">：資料アップロード・条件設定</t>
    </r>
  </si>
  <si>
    <t xml:space="preserve">・① ファイル／フォルダを選択（サブフォルダ対応）</t>
  </si>
  <si>
    <t xml:space="preserve">・② テストケース種別を選択</t>
  </si>
  <si>
    <t xml:space="preserve">・③ キーワードを入力（必須）</t>
  </si>
  <si>
    <t xml:space="preserve">・④ 機能名を入力（任意）</t>
  </si>
  <si>
    <r>
      <rPr>
        <sz val="10"/>
        <rFont val="Noto Sans CJK SC"/>
        <family val="2"/>
      </rPr>
      <t xml:space="preserve">・⑤ </t>
    </r>
    <r>
      <rPr>
        <sz val="10"/>
        <rFont val="MS Pゴシック"/>
        <family val="0"/>
        <charset val="1"/>
      </rPr>
      <t xml:space="preserve">Analysis</t>
    </r>
    <r>
      <rPr>
        <sz val="10"/>
        <rFont val="Noto Sans CJK SC"/>
        <family val="2"/>
      </rPr>
      <t xml:space="preserve">を実行</t>
    </r>
  </si>
  <si>
    <r>
      <rPr>
        <b val="true"/>
        <sz val="10"/>
        <rFont val="MS Pゴシック"/>
        <family val="0"/>
        <charset val="1"/>
      </rPr>
      <t xml:space="preserve">Step 2</t>
    </r>
    <r>
      <rPr>
        <b val="true"/>
        <sz val="10"/>
        <rFont val="Noto Sans CJK SC"/>
        <family val="2"/>
      </rPr>
      <t xml:space="preserve">：分析結果の確認・選択</t>
    </r>
  </si>
  <si>
    <t xml:space="preserve">・① 読み込んだファイル一覧</t>
  </si>
  <si>
    <t xml:space="preserve">・② カテゴリ別件数（クリックで絞り込み）</t>
  </si>
  <si>
    <t xml:space="preserve">・③ キーワード／機能名の反映率（カバレッジ）</t>
  </si>
  <si>
    <t xml:space="preserve">・④ すべて選択／選択解除</t>
  </si>
  <si>
    <t xml:space="preserve">・⑤ チェックリスト（項目ごとに選択可能）</t>
  </si>
  <si>
    <t xml:space="preserve">・⑥ 選択項目でテストケースを生成</t>
  </si>
  <si>
    <r>
      <rPr>
        <b val="true"/>
        <sz val="10"/>
        <rFont val="MS Pゴシック"/>
        <family val="0"/>
        <charset val="1"/>
      </rPr>
      <t xml:space="preserve">Step 3</t>
    </r>
    <r>
      <rPr>
        <b val="true"/>
        <sz val="10"/>
        <rFont val="Noto Sans CJK SC"/>
        <family val="2"/>
      </rPr>
      <t xml:space="preserve">：テストケース生成結果</t>
    </r>
  </si>
  <si>
    <t xml:space="preserve">・① 生成結果プレビュー（セル編集可能）</t>
  </si>
  <si>
    <t xml:space="preserve">・② 行を追加／③ 行を削除</t>
  </si>
  <si>
    <r>
      <rPr>
        <sz val="10"/>
        <rFont val="Noto Sans CJK SC"/>
        <family val="2"/>
      </rPr>
      <t xml:space="preserve">・④ </t>
    </r>
    <r>
      <rPr>
        <sz val="10"/>
        <rFont val="MS Pゴシック"/>
        <family val="0"/>
        <charset val="1"/>
      </rPr>
      <t xml:space="preserve">Excel</t>
    </r>
    <r>
      <rPr>
        <sz val="10"/>
        <rFont val="Noto Sans CJK SC"/>
        <family val="2"/>
      </rPr>
      <t xml:space="preserve">ダウンロード（保存後に有効化）</t>
    </r>
  </si>
  <si>
    <r>
      <rPr>
        <b val="true"/>
        <sz val="10"/>
        <rFont val="MS Pゴシック"/>
        <family val="0"/>
        <charset val="1"/>
      </rPr>
      <t xml:space="preserve">Step 4</t>
    </r>
    <r>
      <rPr>
        <b val="true"/>
        <sz val="10"/>
        <rFont val="Noto Sans CJK SC"/>
        <family val="2"/>
      </rPr>
      <t xml:space="preserve">：編集・保存・キャンセル</t>
    </r>
  </si>
  <si>
    <t xml:space="preserve">・① 未保存の変更（編集すると表示）</t>
  </si>
  <si>
    <r>
      <rPr>
        <sz val="10"/>
        <rFont val="Noto Sans CJK SC"/>
        <family val="2"/>
      </rPr>
      <t xml:space="preserve">・② 保存 → </t>
    </r>
    <r>
      <rPr>
        <sz val="10"/>
        <rFont val="MS Pゴシック"/>
        <family val="0"/>
        <charset val="1"/>
      </rPr>
      <t xml:space="preserve">Excel</t>
    </r>
    <r>
      <rPr>
        <sz val="10"/>
        <rFont val="Noto Sans CJK SC"/>
        <family val="2"/>
      </rPr>
      <t xml:space="preserve">再生成・ダウンロード可</t>
    </r>
  </si>
  <si>
    <t xml:space="preserve">・③ キャンセル → 編集前の状態に戻す</t>
  </si>
  <si>
    <t xml:space="preserve">・④ 保存前はダウンロード不可</t>
  </si>
  <si>
    <r>
      <rPr>
        <b val="true"/>
        <sz val="10"/>
        <rFont val="MS Pゴシック"/>
        <family val="0"/>
        <charset val="1"/>
      </rPr>
      <t xml:space="preserve">Step 5</t>
    </r>
    <r>
      <rPr>
        <b val="true"/>
        <sz val="10"/>
        <rFont val="Noto Sans CJK SC"/>
        <family val="2"/>
      </rPr>
      <t xml:space="preserve">：言語切替</t>
    </r>
  </si>
  <si>
    <r>
      <rPr>
        <sz val="10"/>
        <rFont val="Noto Sans CJK SC"/>
        <family val="2"/>
      </rPr>
      <t xml:space="preserve">・日本語／</t>
    </r>
    <r>
      <rPr>
        <sz val="10"/>
        <rFont val="MS Pゴシック"/>
        <family val="0"/>
        <charset val="1"/>
      </rPr>
      <t xml:space="preserve">English</t>
    </r>
    <r>
      <rPr>
        <sz val="10"/>
        <rFont val="Noto Sans CJK SC"/>
        <family val="2"/>
      </rPr>
      <t xml:space="preserve">を切替（生成結果も翻訳）</t>
    </r>
  </si>
  <si>
    <t xml:space="preserve">終了方法</t>
  </si>
  <si>
    <r>
      <rPr>
        <sz val="10"/>
        <rFont val="Noto Sans CJK SC"/>
        <family val="2"/>
      </rPr>
      <t xml:space="preserve">・コマンドプロンプトを閉じる、または</t>
    </r>
    <r>
      <rPr>
        <sz val="10"/>
        <rFont val="MS Pゴシック"/>
        <family val="0"/>
        <charset val="1"/>
      </rPr>
      <t xml:space="preserve">Ctrl+C</t>
    </r>
  </si>
  <si>
    <r>
      <rPr>
        <sz val="10"/>
        <rFont val="Noto Sans CJK SC"/>
        <family val="2"/>
      </rPr>
      <t xml:space="preserve">・</t>
    </r>
    <r>
      <rPr>
        <sz val="10"/>
        <rFont val="MS Pゴシック"/>
        <family val="0"/>
        <charset val="1"/>
      </rPr>
      <t xml:space="preserve">DAT Copilot Bridge</t>
    </r>
    <r>
      <rPr>
        <sz val="10"/>
        <rFont val="Noto Sans CJK SC"/>
        <family val="2"/>
      </rPr>
      <t xml:space="preserve">は自動的に終了</t>
    </r>
  </si>
</sst>
</file>

<file path=xl/styles.xml><?xml version="1.0" encoding="utf-8"?>
<styleSheet xmlns="http://schemas.openxmlformats.org/spreadsheetml/2006/main">
  <numFmts count="2">
    <numFmt numFmtId="164" formatCode="General"/>
    <numFmt numFmtId="165" formatCode="0.0%"/>
  </numFmts>
  <fonts count="25">
    <font>
      <sz val="11"/>
      <color theme="1"/>
      <name val="Calibri"/>
      <family val="2"/>
      <charset val="1"/>
    </font>
    <font>
      <sz val="10"/>
      <name val="Arial"/>
      <family val="0"/>
    </font>
    <font>
      <sz val="10"/>
      <name val="Arial"/>
      <family val="0"/>
    </font>
    <font>
      <sz val="10"/>
      <name val="Arial"/>
      <family val="0"/>
    </font>
    <font>
      <b val="true"/>
      <sz val="16"/>
      <name val="MS Pゴシック"/>
      <family val="0"/>
      <charset val="1"/>
    </font>
    <font>
      <b val="true"/>
      <sz val="16"/>
      <name val="Noto Sans CJK SC"/>
      <family val="2"/>
    </font>
    <font>
      <b val="true"/>
      <sz val="12"/>
      <color rgb="FF1F4E78"/>
      <name val="Noto Sans CJK SC"/>
      <family val="2"/>
    </font>
    <font>
      <b val="true"/>
      <sz val="10"/>
      <name val="Noto Sans CJK SC"/>
      <family val="2"/>
    </font>
    <font>
      <sz val="10"/>
      <name val="MS Pゴシック"/>
      <family val="0"/>
      <charset val="1"/>
    </font>
    <font>
      <sz val="10"/>
      <name val="Noto Sans CJK SC"/>
      <family val="2"/>
    </font>
    <font>
      <sz val="11"/>
      <color theme="1"/>
      <name val="Noto Sans CJK SC"/>
      <family val="2"/>
    </font>
    <font>
      <b val="true"/>
      <sz val="10"/>
      <color rgb="FFFFFFFF"/>
      <name val="Noto Sans CJK SC"/>
      <family val="2"/>
    </font>
    <font>
      <b val="true"/>
      <sz val="10"/>
      <color rgb="FFFFFFFF"/>
      <name val="MS Pゴシック"/>
      <family val="0"/>
      <charset val="1"/>
    </font>
    <font>
      <sz val="12"/>
      <name val="Noto Sans CJK SC"/>
      <family val="2"/>
    </font>
    <font>
      <b val="true"/>
      <sz val="12"/>
      <name val="Noto Sans CJK SC"/>
      <family val="2"/>
    </font>
    <font>
      <sz val="12"/>
      <name val="MS Pゴシック"/>
      <family val="0"/>
      <charset val="1"/>
    </font>
    <font>
      <i val="true"/>
      <sz val="9"/>
      <name val="Noto Sans CJK SC"/>
      <family val="2"/>
    </font>
    <font>
      <b val="true"/>
      <sz val="10"/>
      <name val="MS Pゴシック"/>
      <family val="0"/>
      <charset val="1"/>
    </font>
    <font>
      <i val="true"/>
      <sz val="10"/>
      <name val="Noto Sans CJK SC"/>
      <family val="2"/>
    </font>
    <font>
      <sz val="10"/>
      <color rgb="FF0000FF"/>
      <name val="MS Pゴシック"/>
      <family val="0"/>
      <charset val="1"/>
    </font>
    <font>
      <sz val="10"/>
      <color rgb="FF0000FF"/>
      <name val="Noto Sans CJK SC"/>
      <family val="2"/>
    </font>
    <font>
      <i val="true"/>
      <sz val="9"/>
      <color rgb="FFFF0000"/>
      <name val="Noto Sans CJK SC"/>
      <family val="2"/>
    </font>
    <font>
      <b val="true"/>
      <sz val="11"/>
      <color rgb="FFC00000"/>
      <name val="Noto Sans CJK SC"/>
      <family val="2"/>
    </font>
    <font>
      <b val="true"/>
      <sz val="12"/>
      <color rgb="FF1F4E78"/>
      <name val="MS Pゴシック"/>
      <family val="0"/>
      <charset val="1"/>
    </font>
    <font>
      <i val="true"/>
      <sz val="9"/>
      <name val="MS Pゴシック"/>
      <family val="0"/>
      <charset val="1"/>
    </font>
  </fonts>
  <fills count="7">
    <fill>
      <patternFill patternType="none"/>
    </fill>
    <fill>
      <patternFill patternType="gray125"/>
    </fill>
    <fill>
      <patternFill patternType="solid">
        <fgColor rgb="FFFFF2CC"/>
        <bgColor rgb="FFFCE4D6"/>
      </patternFill>
    </fill>
    <fill>
      <patternFill patternType="solid">
        <fgColor rgb="FFE2EFDA"/>
        <bgColor rgb="FFD9E1F2"/>
      </patternFill>
    </fill>
    <fill>
      <patternFill patternType="solid">
        <fgColor rgb="FFFCE4D6"/>
        <bgColor rgb="FFFFF2CC"/>
      </patternFill>
    </fill>
    <fill>
      <patternFill patternType="solid">
        <fgColor rgb="FF1F4E78"/>
        <bgColor rgb="FF003366"/>
      </patternFill>
    </fill>
    <fill>
      <patternFill patternType="solid">
        <fgColor rgb="FFD9E1F2"/>
        <bgColor rgb="FFE2EFDA"/>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left" vertical="top"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18" fillId="6" borderId="0" xfId="0" applyFont="true" applyBorder="true" applyAlignment="true" applyProtection="false">
      <alignment horizontal="left" vertical="top" textRotation="0" wrapText="true" indent="0" shrinkToFit="false"/>
      <protection locked="true" hidden="false"/>
    </xf>
    <xf numFmtId="164" fontId="19" fillId="2" borderId="1" xfId="0" applyFont="true" applyBorder="true" applyAlignment="true" applyProtection="false">
      <alignment horizontal="center"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20" fillId="2" borderId="1" xfId="0" applyFont="true" applyBorder="true" applyAlignment="true" applyProtection="false">
      <alignment horizontal="left" vertical="top" textRotation="0" wrapText="true" indent="0" shrinkToFit="false"/>
      <protection locked="true" hidden="false"/>
    </xf>
    <xf numFmtId="164" fontId="19" fillId="2" borderId="1" xfId="0" applyFont="true" applyBorder="true" applyAlignment="true" applyProtection="false">
      <alignment horizontal="left" vertical="top"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5" fontId="17" fillId="6" borderId="1"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7" fillId="6" borderId="0" xfId="0" applyFont="true" applyBorder="true" applyAlignment="false" applyProtection="false">
      <alignment horizontal="general" vertical="bottom" textRotation="0" wrapText="false" indent="0" shrinkToFit="false"/>
      <protection locked="true" hidden="false"/>
    </xf>
    <xf numFmtId="164" fontId="17" fillId="6"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6"/>
    <col collapsed="false" customWidth="true" hidden="false" outlineLevel="0" max="3" min="3" style="0" width="95"/>
  </cols>
  <sheetData>
    <row r="2" customFormat="false" ht="23.85" hidden="false" customHeight="false" outlineLevel="0" collapsed="false">
      <c r="B2" s="1" t="s">
        <v>0</v>
      </c>
    </row>
    <row r="3" customFormat="false" ht="15" hidden="false" customHeight="false" outlineLevel="0" collapsed="false">
      <c r="B3" s="2" t="s">
        <v>1</v>
      </c>
    </row>
    <row r="5" customFormat="false" ht="30" hidden="false" customHeight="true" outlineLevel="0" collapsed="false">
      <c r="B5" s="3" t="s">
        <v>2</v>
      </c>
      <c r="C5" s="4" t="s">
        <v>3</v>
      </c>
    </row>
    <row r="6" customFormat="false" ht="30" hidden="false" customHeight="true" outlineLevel="0" collapsed="false">
      <c r="B6" s="3" t="s">
        <v>4</v>
      </c>
      <c r="C6" s="5" t="s">
        <v>5</v>
      </c>
    </row>
    <row r="7" customFormat="false" ht="60" hidden="false" customHeight="true" outlineLevel="0" collapsed="false">
      <c r="B7" s="3" t="s">
        <v>6</v>
      </c>
      <c r="C7" s="5" t="s">
        <v>7</v>
      </c>
    </row>
    <row r="8" customFormat="false" ht="60" hidden="false" customHeight="true" outlineLevel="0" collapsed="false">
      <c r="B8" s="3" t="s">
        <v>8</v>
      </c>
      <c r="C8" s="5" t="s">
        <v>9</v>
      </c>
    </row>
    <row r="10" customFormat="false" ht="15" hidden="false" customHeight="false" outlineLevel="0" collapsed="false">
      <c r="B10" s="3" t="s">
        <v>10</v>
      </c>
    </row>
    <row r="11" customFormat="false" ht="15" hidden="false" customHeight="false" outlineLevel="0" collapsed="false">
      <c r="C11" s="6" t="s">
        <v>11</v>
      </c>
    </row>
    <row r="12" customFormat="false" ht="15" hidden="false" customHeight="false" outlineLevel="0" collapsed="false">
      <c r="C12" s="6" t="s">
        <v>12</v>
      </c>
    </row>
    <row r="13" customFormat="false" ht="15" hidden="false" customHeight="false" outlineLevel="0" collapsed="false">
      <c r="C13" s="6" t="s">
        <v>13</v>
      </c>
    </row>
    <row r="14" customFormat="false" ht="15" hidden="false" customHeight="false" outlineLevel="0" collapsed="false">
      <c r="C14" s="6" t="s">
        <v>14</v>
      </c>
    </row>
    <row r="15" customFormat="false" ht="15" hidden="false" customHeight="false" outlineLevel="0" collapsed="false">
      <c r="C15" s="6" t="s">
        <v>15</v>
      </c>
    </row>
    <row r="16" customFormat="false" ht="15" hidden="false" customHeight="false" outlineLevel="0" collapsed="false">
      <c r="C16" s="6" t="s">
        <v>16</v>
      </c>
    </row>
    <row r="17" customFormat="false" ht="15" hidden="false" customHeight="false" outlineLevel="0" collapsed="false">
      <c r="C17" s="6" t="s">
        <v>17</v>
      </c>
    </row>
    <row r="18" customFormat="false" ht="15" hidden="false" customHeight="false" outlineLevel="0" collapsed="false">
      <c r="C18" s="6" t="s">
        <v>18</v>
      </c>
    </row>
    <row r="20" customFormat="false" ht="15" hidden="false" customHeight="false" outlineLevel="0" collapsed="false">
      <c r="B20" s="3" t="s">
        <v>19</v>
      </c>
    </row>
    <row r="21" customFormat="false" ht="15" hidden="false" customHeight="false" outlineLevel="0" collapsed="false">
      <c r="B21" s="7" t="s">
        <v>20</v>
      </c>
      <c r="C21" s="6" t="s">
        <v>21</v>
      </c>
    </row>
    <row r="22" customFormat="false" ht="15" hidden="false" customHeight="false" outlineLevel="0" collapsed="false">
      <c r="B22" s="8" t="s">
        <v>22</v>
      </c>
      <c r="C22" s="9" t="s">
        <v>23</v>
      </c>
    </row>
    <row r="23" customFormat="false" ht="15" hidden="false" customHeight="false" outlineLevel="0" collapsed="false">
      <c r="B23" s="10" t="s">
        <v>24</v>
      </c>
      <c r="C23" s="6"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6"/>
    <col collapsed="false" customWidth="true" hidden="false" outlineLevel="0" max="3" min="3" style="0" width="22"/>
    <col collapsed="false" customWidth="true" hidden="false" outlineLevel="0" max="4" min="4" style="0" width="16"/>
  </cols>
  <sheetData>
    <row r="2" customFormat="false" ht="23.85" hidden="false" customHeight="false" outlineLevel="0" collapsed="false">
      <c r="B2" s="11" t="s">
        <v>26</v>
      </c>
    </row>
    <row r="4" customFormat="false" ht="45.75" hidden="false" customHeight="true" outlineLevel="0" collapsed="false">
      <c r="B4" s="12" t="s">
        <v>27</v>
      </c>
      <c r="C4" s="12"/>
      <c r="D4" s="12"/>
      <c r="E4" s="12"/>
      <c r="F4" s="12"/>
    </row>
    <row r="6" customFormat="false" ht="15" hidden="false" customHeight="false" outlineLevel="0" collapsed="false">
      <c r="A6" s="13" t="s">
        <v>28</v>
      </c>
      <c r="B6" s="13" t="s">
        <v>29</v>
      </c>
      <c r="C6" s="13" t="s">
        <v>30</v>
      </c>
      <c r="D6" s="13" t="s">
        <v>31</v>
      </c>
    </row>
    <row r="7" customFormat="false" ht="43.5" hidden="false" customHeight="true" outlineLevel="0" collapsed="false">
      <c r="A7" s="14" t="s">
        <v>32</v>
      </c>
      <c r="B7" s="15" t="s">
        <v>33</v>
      </c>
      <c r="C7" s="16" t="s">
        <v>34</v>
      </c>
      <c r="D7" s="17" t="s">
        <v>35</v>
      </c>
    </row>
    <row r="8" customFormat="false" ht="43.5" hidden="false" customHeight="true" outlineLevel="0" collapsed="false">
      <c r="A8" s="18" t="s">
        <v>36</v>
      </c>
      <c r="B8" s="19" t="s">
        <v>37</v>
      </c>
      <c r="C8" s="20" t="s">
        <v>38</v>
      </c>
      <c r="D8" s="21" t="s">
        <v>39</v>
      </c>
    </row>
    <row r="9" customFormat="false" ht="43.5" hidden="false" customHeight="true" outlineLevel="0" collapsed="false">
      <c r="A9" s="18" t="s">
        <v>40</v>
      </c>
      <c r="B9" s="19" t="s">
        <v>41</v>
      </c>
      <c r="C9" s="20" t="s">
        <v>38</v>
      </c>
      <c r="D9" s="21" t="s">
        <v>39</v>
      </c>
    </row>
    <row r="10" customFormat="false" ht="43.5" hidden="false" customHeight="true" outlineLevel="0" collapsed="false">
      <c r="A10" s="18" t="s">
        <v>42</v>
      </c>
      <c r="B10" s="19" t="s">
        <v>43</v>
      </c>
      <c r="C10" s="20" t="s">
        <v>38</v>
      </c>
      <c r="D10" s="21" t="s">
        <v>39</v>
      </c>
    </row>
    <row r="12" customFormat="false" ht="15" hidden="false" customHeight="false" outlineLevel="0" collapsed="false">
      <c r="B12" s="22" t="s">
        <v>44</v>
      </c>
      <c r="C12" s="22"/>
      <c r="D12" s="22"/>
      <c r="E12" s="22"/>
      <c r="F12" s="22"/>
    </row>
  </sheetData>
  <mergeCells count="2">
    <mergeCell ref="B4:F4"/>
    <mergeCell ref="B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4" min="2" style="0" width="12"/>
    <col collapsed="false" customWidth="true" hidden="false" outlineLevel="0" max="5" min="5" style="0" width="30"/>
    <col collapsed="false" customWidth="true" hidden="false" outlineLevel="0" max="7" min="6" style="0" width="14"/>
    <col collapsed="false" customWidth="true" hidden="false" outlineLevel="0" max="8" min="8" style="0" width="22"/>
    <col collapsed="false" customWidth="true" hidden="false" outlineLevel="0" max="9" min="9" style="0" width="40"/>
    <col collapsed="false" customWidth="true" hidden="false" outlineLevel="0" max="10" min="10" style="0" width="44"/>
  </cols>
  <sheetData>
    <row r="2" customFormat="false" ht="23.85" hidden="false" customHeight="false" outlineLevel="0" collapsed="false">
      <c r="B2" s="11" t="s">
        <v>45</v>
      </c>
    </row>
    <row r="4" customFormat="false" ht="45.75" hidden="false" customHeight="true" outlineLevel="0" collapsed="false">
      <c r="B4" s="12" t="s">
        <v>46</v>
      </c>
      <c r="C4" s="12"/>
      <c r="D4" s="12"/>
      <c r="E4" s="12"/>
      <c r="F4" s="12"/>
      <c r="G4" s="12"/>
      <c r="H4" s="12"/>
      <c r="I4" s="12"/>
      <c r="J4" s="12"/>
      <c r="K4" s="12"/>
      <c r="L4" s="12"/>
      <c r="M4" s="12"/>
    </row>
    <row r="6" customFormat="false" ht="29.85" hidden="false" customHeight="false" outlineLevel="0" collapsed="false">
      <c r="A6" s="23" t="s">
        <v>47</v>
      </c>
      <c r="B6" s="13" t="s">
        <v>28</v>
      </c>
      <c r="C6" s="13" t="s">
        <v>48</v>
      </c>
      <c r="D6" s="13" t="s">
        <v>49</v>
      </c>
      <c r="E6" s="13" t="s">
        <v>50</v>
      </c>
      <c r="F6" s="13" t="s">
        <v>51</v>
      </c>
      <c r="G6" s="13" t="s">
        <v>52</v>
      </c>
      <c r="H6" s="13" t="s">
        <v>53</v>
      </c>
      <c r="I6" s="13" t="s">
        <v>54</v>
      </c>
      <c r="J6" s="13" t="s">
        <v>55</v>
      </c>
    </row>
    <row r="7" customFormat="false" ht="39.75" hidden="false" customHeight="true" outlineLevel="0" collapsed="false">
      <c r="A7" s="24" t="n">
        <v>1</v>
      </c>
      <c r="B7" s="25" t="s">
        <v>56</v>
      </c>
      <c r="C7" s="24" t="s">
        <v>57</v>
      </c>
      <c r="D7" s="24" t="s">
        <v>58</v>
      </c>
      <c r="E7" s="24" t="s">
        <v>59</v>
      </c>
      <c r="F7" s="25" t="s">
        <v>60</v>
      </c>
      <c r="G7" s="25" t="s">
        <v>61</v>
      </c>
      <c r="H7" s="24" t="s">
        <v>62</v>
      </c>
      <c r="I7" s="26" t="s">
        <v>63</v>
      </c>
      <c r="J7" s="27" t="s">
        <v>64</v>
      </c>
    </row>
    <row r="8" customFormat="false" ht="39.75" hidden="false" customHeight="true" outlineLevel="0" collapsed="false">
      <c r="A8" s="28" t="n">
        <v>2</v>
      </c>
      <c r="B8" s="29" t="s">
        <v>56</v>
      </c>
      <c r="C8" s="28" t="s">
        <v>57</v>
      </c>
      <c r="D8" s="28" t="s">
        <v>58</v>
      </c>
      <c r="E8" s="28" t="s">
        <v>59</v>
      </c>
      <c r="F8" s="29" t="s">
        <v>60</v>
      </c>
      <c r="G8" s="29" t="s">
        <v>65</v>
      </c>
      <c r="H8" s="28" t="s">
        <v>66</v>
      </c>
      <c r="I8" s="30" t="s">
        <v>67</v>
      </c>
      <c r="J8" s="31" t="s">
        <v>68</v>
      </c>
    </row>
    <row r="9" customFormat="false" ht="39.75" hidden="false" customHeight="true" outlineLevel="0" collapsed="false">
      <c r="A9" s="24" t="n">
        <v>3</v>
      </c>
      <c r="B9" s="25" t="s">
        <v>56</v>
      </c>
      <c r="C9" s="24" t="s">
        <v>57</v>
      </c>
      <c r="D9" s="24" t="s">
        <v>58</v>
      </c>
      <c r="E9" s="24" t="s">
        <v>59</v>
      </c>
      <c r="F9" s="25" t="s">
        <v>69</v>
      </c>
      <c r="G9" s="25" t="s">
        <v>61</v>
      </c>
      <c r="H9" s="24" t="s">
        <v>70</v>
      </c>
      <c r="I9" s="26" t="s">
        <v>71</v>
      </c>
      <c r="J9" s="27" t="s">
        <v>64</v>
      </c>
    </row>
    <row r="10" customFormat="false" ht="39.75" hidden="false" customHeight="true" outlineLevel="0" collapsed="false">
      <c r="A10" s="28" t="n">
        <v>4</v>
      </c>
      <c r="B10" s="29" t="s">
        <v>56</v>
      </c>
      <c r="C10" s="28" t="s">
        <v>57</v>
      </c>
      <c r="D10" s="28" t="s">
        <v>58</v>
      </c>
      <c r="E10" s="28" t="s">
        <v>59</v>
      </c>
      <c r="F10" s="29" t="s">
        <v>69</v>
      </c>
      <c r="G10" s="29" t="s">
        <v>65</v>
      </c>
      <c r="H10" s="28" t="s">
        <v>72</v>
      </c>
      <c r="I10" s="30" t="s">
        <v>73</v>
      </c>
      <c r="J10" s="31" t="s">
        <v>68</v>
      </c>
    </row>
    <row r="11" customFormat="false" ht="39.75" hidden="false" customHeight="true" outlineLevel="0" collapsed="false">
      <c r="A11" s="24" t="n">
        <v>5</v>
      </c>
      <c r="B11" s="25" t="s">
        <v>56</v>
      </c>
      <c r="C11" s="24" t="s">
        <v>57</v>
      </c>
      <c r="D11" s="24" t="s">
        <v>58</v>
      </c>
      <c r="E11" s="24" t="s">
        <v>59</v>
      </c>
      <c r="F11" s="25" t="s">
        <v>74</v>
      </c>
      <c r="G11" s="25" t="s">
        <v>61</v>
      </c>
      <c r="H11" s="24" t="s">
        <v>75</v>
      </c>
      <c r="I11" s="26" t="s">
        <v>76</v>
      </c>
      <c r="J11" s="27" t="s">
        <v>64</v>
      </c>
    </row>
    <row r="12" customFormat="false" ht="39.75" hidden="false" customHeight="true" outlineLevel="0" collapsed="false">
      <c r="A12" s="28" t="n">
        <v>6</v>
      </c>
      <c r="B12" s="29" t="s">
        <v>56</v>
      </c>
      <c r="C12" s="28" t="s">
        <v>57</v>
      </c>
      <c r="D12" s="28" t="s">
        <v>58</v>
      </c>
      <c r="E12" s="28" t="s">
        <v>59</v>
      </c>
      <c r="F12" s="29" t="s">
        <v>74</v>
      </c>
      <c r="G12" s="29" t="s">
        <v>65</v>
      </c>
      <c r="H12" s="28" t="s">
        <v>77</v>
      </c>
      <c r="I12" s="30" t="s">
        <v>78</v>
      </c>
      <c r="J12" s="31" t="s">
        <v>68</v>
      </c>
    </row>
    <row r="13" customFormat="false" ht="39.75" hidden="false" customHeight="true" outlineLevel="0" collapsed="false">
      <c r="A13" s="28" t="n">
        <v>7</v>
      </c>
      <c r="B13" s="29" t="s">
        <v>56</v>
      </c>
      <c r="C13" s="28" t="s">
        <v>57</v>
      </c>
      <c r="D13" s="28" t="s">
        <v>58</v>
      </c>
      <c r="E13" s="28" t="s">
        <v>59</v>
      </c>
      <c r="F13" s="29" t="s">
        <v>79</v>
      </c>
      <c r="G13" s="29" t="s">
        <v>61</v>
      </c>
      <c r="H13" s="28" t="s">
        <v>80</v>
      </c>
      <c r="I13" s="30" t="s">
        <v>81</v>
      </c>
      <c r="J13" s="31" t="s">
        <v>82</v>
      </c>
    </row>
    <row r="14" customFormat="false" ht="39.75" hidden="false" customHeight="true" outlineLevel="0" collapsed="false">
      <c r="A14" s="28" t="n">
        <v>8</v>
      </c>
      <c r="B14" s="29" t="s">
        <v>56</v>
      </c>
      <c r="C14" s="28" t="s">
        <v>57</v>
      </c>
      <c r="D14" s="28" t="s">
        <v>58</v>
      </c>
      <c r="E14" s="28" t="s">
        <v>59</v>
      </c>
      <c r="F14" s="29" t="s">
        <v>79</v>
      </c>
      <c r="G14" s="29" t="s">
        <v>65</v>
      </c>
      <c r="H14" s="28" t="s">
        <v>83</v>
      </c>
      <c r="I14" s="30" t="s">
        <v>84</v>
      </c>
      <c r="J14" s="31" t="s">
        <v>85</v>
      </c>
    </row>
    <row r="15" customFormat="false" ht="39.75" hidden="false" customHeight="true" outlineLevel="0" collapsed="false">
      <c r="A15" s="24" t="n">
        <v>9</v>
      </c>
      <c r="B15" s="25" t="s">
        <v>86</v>
      </c>
      <c r="C15" s="24" t="s">
        <v>57</v>
      </c>
      <c r="D15" s="24" t="s">
        <v>58</v>
      </c>
      <c r="E15" s="24" t="s">
        <v>59</v>
      </c>
      <c r="F15" s="25" t="s">
        <v>60</v>
      </c>
      <c r="G15" s="25" t="s">
        <v>61</v>
      </c>
      <c r="H15" s="24" t="s">
        <v>62</v>
      </c>
      <c r="I15" s="26" t="s">
        <v>87</v>
      </c>
      <c r="J15" s="27" t="s">
        <v>64</v>
      </c>
    </row>
    <row r="16" customFormat="false" ht="39.75" hidden="false" customHeight="true" outlineLevel="0" collapsed="false">
      <c r="A16" s="28" t="n">
        <v>10</v>
      </c>
      <c r="B16" s="29" t="s">
        <v>86</v>
      </c>
      <c r="C16" s="28" t="s">
        <v>57</v>
      </c>
      <c r="D16" s="28" t="s">
        <v>58</v>
      </c>
      <c r="E16" s="28" t="s">
        <v>59</v>
      </c>
      <c r="F16" s="29" t="s">
        <v>60</v>
      </c>
      <c r="G16" s="29" t="s">
        <v>65</v>
      </c>
      <c r="H16" s="28" t="s">
        <v>66</v>
      </c>
      <c r="I16" s="30" t="s">
        <v>88</v>
      </c>
      <c r="J16" s="31" t="s">
        <v>68</v>
      </c>
    </row>
    <row r="17" customFormat="false" ht="39.75" hidden="false" customHeight="true" outlineLevel="0" collapsed="false">
      <c r="A17" s="24" t="n">
        <v>11</v>
      </c>
      <c r="B17" s="25" t="s">
        <v>86</v>
      </c>
      <c r="C17" s="24" t="s">
        <v>57</v>
      </c>
      <c r="D17" s="24" t="s">
        <v>58</v>
      </c>
      <c r="E17" s="24" t="s">
        <v>59</v>
      </c>
      <c r="F17" s="25" t="s">
        <v>69</v>
      </c>
      <c r="G17" s="25" t="s">
        <v>61</v>
      </c>
      <c r="H17" s="24" t="s">
        <v>70</v>
      </c>
      <c r="I17" s="26" t="s">
        <v>89</v>
      </c>
      <c r="J17" s="27" t="s">
        <v>64</v>
      </c>
    </row>
    <row r="18" customFormat="false" ht="39.75" hidden="false" customHeight="true" outlineLevel="0" collapsed="false">
      <c r="A18" s="28" t="n">
        <v>12</v>
      </c>
      <c r="B18" s="29" t="s">
        <v>86</v>
      </c>
      <c r="C18" s="28" t="s">
        <v>57</v>
      </c>
      <c r="D18" s="28" t="s">
        <v>58</v>
      </c>
      <c r="E18" s="28" t="s">
        <v>59</v>
      </c>
      <c r="F18" s="29" t="s">
        <v>69</v>
      </c>
      <c r="G18" s="29" t="s">
        <v>65</v>
      </c>
      <c r="H18" s="28" t="s">
        <v>72</v>
      </c>
      <c r="I18" s="30" t="s">
        <v>90</v>
      </c>
      <c r="J18" s="31" t="s">
        <v>68</v>
      </c>
    </row>
    <row r="19" customFormat="false" ht="39.75" hidden="false" customHeight="true" outlineLevel="0" collapsed="false">
      <c r="A19" s="24" t="n">
        <v>13</v>
      </c>
      <c r="B19" s="25" t="s">
        <v>86</v>
      </c>
      <c r="C19" s="24" t="s">
        <v>57</v>
      </c>
      <c r="D19" s="24" t="s">
        <v>58</v>
      </c>
      <c r="E19" s="24" t="s">
        <v>59</v>
      </c>
      <c r="F19" s="25" t="s">
        <v>74</v>
      </c>
      <c r="G19" s="25" t="s">
        <v>61</v>
      </c>
      <c r="H19" s="24" t="s">
        <v>75</v>
      </c>
      <c r="I19" s="26" t="s">
        <v>91</v>
      </c>
      <c r="J19" s="27" t="s">
        <v>64</v>
      </c>
    </row>
    <row r="20" customFormat="false" ht="39.75" hidden="false" customHeight="true" outlineLevel="0" collapsed="false">
      <c r="A20" s="28" t="n">
        <v>14</v>
      </c>
      <c r="B20" s="29" t="s">
        <v>86</v>
      </c>
      <c r="C20" s="28" t="s">
        <v>57</v>
      </c>
      <c r="D20" s="28" t="s">
        <v>58</v>
      </c>
      <c r="E20" s="28" t="s">
        <v>59</v>
      </c>
      <c r="F20" s="29" t="s">
        <v>74</v>
      </c>
      <c r="G20" s="29" t="s">
        <v>65</v>
      </c>
      <c r="H20" s="28" t="s">
        <v>77</v>
      </c>
      <c r="I20" s="30" t="s">
        <v>92</v>
      </c>
      <c r="J20" s="31" t="s">
        <v>68</v>
      </c>
    </row>
    <row r="21" customFormat="false" ht="39.75" hidden="false" customHeight="true" outlineLevel="0" collapsed="false">
      <c r="A21" s="28" t="n">
        <v>15</v>
      </c>
      <c r="B21" s="29" t="s">
        <v>86</v>
      </c>
      <c r="C21" s="28" t="s">
        <v>57</v>
      </c>
      <c r="D21" s="28" t="s">
        <v>58</v>
      </c>
      <c r="E21" s="28" t="s">
        <v>59</v>
      </c>
      <c r="F21" s="29" t="s">
        <v>79</v>
      </c>
      <c r="G21" s="29" t="s">
        <v>61</v>
      </c>
      <c r="H21" s="28" t="s">
        <v>80</v>
      </c>
      <c r="I21" s="30" t="s">
        <v>93</v>
      </c>
      <c r="J21" s="31" t="s">
        <v>82</v>
      </c>
    </row>
    <row r="22" customFormat="false" ht="39.75" hidden="false" customHeight="true" outlineLevel="0" collapsed="false">
      <c r="A22" s="28" t="n">
        <v>16</v>
      </c>
      <c r="B22" s="29" t="s">
        <v>86</v>
      </c>
      <c r="C22" s="28" t="s">
        <v>57</v>
      </c>
      <c r="D22" s="28" t="s">
        <v>58</v>
      </c>
      <c r="E22" s="28" t="s">
        <v>59</v>
      </c>
      <c r="F22" s="29" t="s">
        <v>79</v>
      </c>
      <c r="G22" s="29" t="s">
        <v>65</v>
      </c>
      <c r="H22" s="28" t="s">
        <v>83</v>
      </c>
      <c r="I22" s="30" t="s">
        <v>94</v>
      </c>
      <c r="J22" s="31" t="s">
        <v>85</v>
      </c>
    </row>
    <row r="24" customFormat="false" ht="15" hidden="false" customHeight="false" outlineLevel="0" collapsed="false">
      <c r="B24" s="3" t="s">
        <v>95</v>
      </c>
    </row>
    <row r="25" customFormat="false" ht="15" hidden="false" customHeight="false" outlineLevel="0" collapsed="false">
      <c r="B25" s="6" t="s">
        <v>96</v>
      </c>
    </row>
  </sheetData>
  <mergeCells count="1">
    <mergeCell ref="B4:M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3" min="3" style="0" width="34"/>
    <col collapsed="false" customWidth="true" hidden="false" outlineLevel="0" max="4" min="4" style="0" width="20"/>
  </cols>
  <sheetData>
    <row r="2" customFormat="false" ht="23.85" hidden="false" customHeight="false" outlineLevel="0" collapsed="false">
      <c r="B2" s="1" t="s">
        <v>97</v>
      </c>
    </row>
    <row r="4" customFormat="false" ht="45.75" hidden="false" customHeight="true" outlineLevel="0" collapsed="false">
      <c r="B4" s="12" t="s">
        <v>98</v>
      </c>
      <c r="C4" s="12"/>
      <c r="D4" s="12"/>
      <c r="E4" s="12"/>
      <c r="F4" s="12"/>
      <c r="G4" s="12"/>
      <c r="H4" s="12"/>
    </row>
    <row r="6" customFormat="false" ht="15" hidden="false" customHeight="false" outlineLevel="0" collapsed="false">
      <c r="A6" s="13" t="s">
        <v>99</v>
      </c>
      <c r="B6" s="13" t="s">
        <v>100</v>
      </c>
      <c r="C6" s="13" t="s">
        <v>101</v>
      </c>
      <c r="D6" s="13" t="s">
        <v>102</v>
      </c>
    </row>
    <row r="7" customFormat="false" ht="45.75" hidden="false" customHeight="true" outlineLevel="0" collapsed="false">
      <c r="A7" s="32" t="s">
        <v>103</v>
      </c>
      <c r="B7" s="33" t="s">
        <v>104</v>
      </c>
      <c r="C7" s="33" t="s">
        <v>105</v>
      </c>
      <c r="D7" s="33" t="s">
        <v>106</v>
      </c>
    </row>
    <row r="8" customFormat="false" ht="45.75" hidden="false" customHeight="true" outlineLevel="0" collapsed="false">
      <c r="A8" s="32" t="s">
        <v>107</v>
      </c>
      <c r="B8" s="33" t="s">
        <v>108</v>
      </c>
      <c r="C8" s="33" t="s">
        <v>109</v>
      </c>
      <c r="D8" s="33" t="s">
        <v>106</v>
      </c>
    </row>
    <row r="9" customFormat="false" ht="45.75" hidden="false" customHeight="true" outlineLevel="0" collapsed="false">
      <c r="A9" s="27" t="s">
        <v>110</v>
      </c>
      <c r="B9" s="25" t="s">
        <v>108</v>
      </c>
      <c r="C9" s="24" t="s">
        <v>111</v>
      </c>
      <c r="D9" s="25" t="s">
        <v>112</v>
      </c>
    </row>
    <row r="10" customFormat="false" ht="45.75" hidden="false" customHeight="true" outlineLevel="0" collapsed="false">
      <c r="A10" s="27" t="s">
        <v>113</v>
      </c>
      <c r="B10" s="25" t="s">
        <v>114</v>
      </c>
      <c r="C10" s="24" t="s">
        <v>115</v>
      </c>
      <c r="D10" s="25" t="s">
        <v>112</v>
      </c>
    </row>
    <row r="11" customFormat="false" ht="45.75" hidden="false" customHeight="true" outlineLevel="0" collapsed="false">
      <c r="A11" s="27" t="s">
        <v>116</v>
      </c>
      <c r="B11" s="25" t="s">
        <v>117</v>
      </c>
      <c r="C11" s="24" t="s">
        <v>118</v>
      </c>
      <c r="D11" s="25" t="s">
        <v>112</v>
      </c>
    </row>
    <row r="12" customFormat="false" ht="45.75" hidden="false" customHeight="true" outlineLevel="0" collapsed="false">
      <c r="A12" s="27" t="s">
        <v>119</v>
      </c>
      <c r="B12" s="25" t="s">
        <v>120</v>
      </c>
      <c r="C12" s="24" t="s">
        <v>121</v>
      </c>
      <c r="D12" s="25" t="s">
        <v>112</v>
      </c>
    </row>
    <row r="14" customFormat="false" ht="45.75" hidden="false" customHeight="true" outlineLevel="0" collapsed="false">
      <c r="B14" s="34" t="s">
        <v>122</v>
      </c>
      <c r="C14" s="34"/>
      <c r="D14" s="34"/>
      <c r="E14" s="34"/>
      <c r="F14" s="34"/>
      <c r="G14" s="34"/>
      <c r="H14" s="34"/>
    </row>
  </sheetData>
  <mergeCells count="2">
    <mergeCell ref="B4:H4"/>
    <mergeCell ref="B14:H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4" min="3" style="0" width="40"/>
    <col collapsed="false" customWidth="true" hidden="false" outlineLevel="0" max="5" min="5" style="0" width="30"/>
  </cols>
  <sheetData>
    <row r="2" customFormat="false" ht="23.85" hidden="false" customHeight="false" outlineLevel="0" collapsed="false">
      <c r="B2" s="1" t="s">
        <v>123</v>
      </c>
    </row>
    <row r="4" customFormat="false" ht="45.75" hidden="false" customHeight="true" outlineLevel="0" collapsed="false">
      <c r="B4" s="12" t="s">
        <v>124</v>
      </c>
      <c r="C4" s="12"/>
      <c r="D4" s="12"/>
      <c r="E4" s="12"/>
      <c r="F4" s="12"/>
      <c r="G4" s="12"/>
      <c r="H4" s="12"/>
    </row>
    <row r="6" customFormat="false" ht="15" hidden="false" customHeight="false" outlineLevel="0" collapsed="false">
      <c r="A6" s="13" t="s">
        <v>125</v>
      </c>
      <c r="B6" s="13" t="s">
        <v>126</v>
      </c>
      <c r="C6" s="13" t="s">
        <v>127</v>
      </c>
      <c r="D6" s="13" t="s">
        <v>128</v>
      </c>
      <c r="E6" s="13" t="s">
        <v>129</v>
      </c>
    </row>
    <row r="7" customFormat="false" ht="129.75" hidden="false" customHeight="true" outlineLevel="0" collapsed="false">
      <c r="A7" s="24" t="s">
        <v>130</v>
      </c>
      <c r="B7" s="26" t="s">
        <v>131</v>
      </c>
      <c r="C7" s="27" t="s">
        <v>132</v>
      </c>
      <c r="D7" s="27" t="s">
        <v>133</v>
      </c>
      <c r="E7" s="25" t="s">
        <v>134</v>
      </c>
    </row>
    <row r="8" customFormat="false" ht="129.75" hidden="false" customHeight="true" outlineLevel="0" collapsed="false">
      <c r="A8" s="24" t="s">
        <v>135</v>
      </c>
      <c r="B8" s="26" t="s">
        <v>136</v>
      </c>
      <c r="C8" s="27" t="s">
        <v>137</v>
      </c>
      <c r="D8" s="27" t="s">
        <v>138</v>
      </c>
      <c r="E8" s="25" t="s">
        <v>139</v>
      </c>
    </row>
    <row r="9" customFormat="false" ht="129.75" hidden="false" customHeight="true" outlineLevel="0" collapsed="false">
      <c r="A9" s="29" t="s">
        <v>140</v>
      </c>
      <c r="B9" s="31" t="s">
        <v>141</v>
      </c>
      <c r="C9" s="31" t="s">
        <v>142</v>
      </c>
      <c r="D9" s="31" t="s">
        <v>143</v>
      </c>
      <c r="E9" s="29" t="s">
        <v>144</v>
      </c>
    </row>
    <row r="11" customFormat="false" ht="15" hidden="false" customHeight="false" outlineLevel="0" collapsed="false">
      <c r="B11" s="3" t="s">
        <v>145</v>
      </c>
    </row>
    <row r="12" customFormat="false" ht="15" hidden="false" customHeight="false" outlineLevel="0" collapsed="false">
      <c r="A12" s="13" t="s">
        <v>125</v>
      </c>
      <c r="B12" s="13" t="s">
        <v>146</v>
      </c>
      <c r="C12" s="13" t="s">
        <v>147</v>
      </c>
    </row>
    <row r="13" customFormat="false" ht="15" hidden="false" customHeight="false" outlineLevel="0" collapsed="false">
      <c r="A13" s="24" t="s">
        <v>148</v>
      </c>
      <c r="B13" s="24" t="n">
        <v>2</v>
      </c>
      <c r="C13" s="24" t="n">
        <v>2</v>
      </c>
    </row>
    <row r="14" customFormat="false" ht="29.85" hidden="false" customHeight="false" outlineLevel="0" collapsed="false">
      <c r="A14" s="25" t="s">
        <v>149</v>
      </c>
      <c r="B14" s="24" t="n">
        <v>2</v>
      </c>
      <c r="C14" s="24" t="n">
        <v>0</v>
      </c>
      <c r="D14" s="27" t="s">
        <v>150</v>
      </c>
    </row>
    <row r="15" customFormat="false" ht="15" hidden="false" customHeight="false" outlineLevel="0" collapsed="false">
      <c r="A15" s="25" t="s">
        <v>151</v>
      </c>
      <c r="B15" s="24" t="n">
        <v>4</v>
      </c>
      <c r="C15" s="24" t="n">
        <v>2</v>
      </c>
    </row>
    <row r="17" customFormat="false" ht="60" hidden="false" customHeight="true" outlineLevel="0" collapsed="false">
      <c r="B17" s="34" t="s">
        <v>152</v>
      </c>
      <c r="C17" s="34"/>
      <c r="D17" s="34"/>
      <c r="E17" s="34"/>
      <c r="F17" s="34"/>
      <c r="G17" s="34"/>
      <c r="H17" s="34"/>
    </row>
  </sheetData>
  <mergeCells count="2">
    <mergeCell ref="B4:H4"/>
    <mergeCell ref="B17: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4" min="3" style="0" width="46"/>
  </cols>
  <sheetData>
    <row r="2" customFormat="false" ht="23.85" hidden="false" customHeight="false" outlineLevel="0" collapsed="false">
      <c r="B2" s="1" t="s">
        <v>153</v>
      </c>
    </row>
    <row r="4" customFormat="false" ht="15" hidden="false" customHeight="false" outlineLevel="0" collapsed="false">
      <c r="B4" s="3" t="s">
        <v>154</v>
      </c>
    </row>
    <row r="5" customFormat="false" ht="61.5" hidden="false" customHeight="true" outlineLevel="0" collapsed="false">
      <c r="B5" s="35" t="s">
        <v>155</v>
      </c>
      <c r="C5" s="35"/>
      <c r="D5" s="35"/>
      <c r="E5" s="35"/>
      <c r="F5" s="35"/>
      <c r="G5" s="35"/>
      <c r="H5" s="35"/>
    </row>
    <row r="7" customFormat="false" ht="45.75" hidden="false" customHeight="true" outlineLevel="0" collapsed="false">
      <c r="B7" s="12" t="s">
        <v>156</v>
      </c>
      <c r="C7" s="12"/>
      <c r="D7" s="12"/>
      <c r="E7" s="12"/>
      <c r="F7" s="12"/>
      <c r="G7" s="12"/>
      <c r="H7" s="12"/>
    </row>
    <row r="9" customFormat="false" ht="15" hidden="false" customHeight="false" outlineLevel="0" collapsed="false">
      <c r="B9" s="13" t="s">
        <v>157</v>
      </c>
      <c r="C9" s="13" t="s">
        <v>158</v>
      </c>
      <c r="D9" s="13" t="s">
        <v>159</v>
      </c>
    </row>
    <row r="10" customFormat="false" ht="79.5" hidden="false" customHeight="true" outlineLevel="0" collapsed="false">
      <c r="B10" s="30" t="s">
        <v>160</v>
      </c>
      <c r="C10" s="31" t="s">
        <v>161</v>
      </c>
      <c r="D10" s="31" t="s">
        <v>162</v>
      </c>
    </row>
    <row r="11" customFormat="false" ht="79.5" hidden="false" customHeight="true" outlineLevel="0" collapsed="false">
      <c r="B11" s="31" t="s">
        <v>163</v>
      </c>
      <c r="C11" s="31" t="s">
        <v>164</v>
      </c>
      <c r="D11" s="31" t="s">
        <v>165</v>
      </c>
    </row>
    <row r="12" customFormat="false" ht="79.5" hidden="false" customHeight="true" outlineLevel="0" collapsed="false">
      <c r="B12" s="31" t="s">
        <v>166</v>
      </c>
      <c r="C12" s="30" t="s">
        <v>167</v>
      </c>
      <c r="D12" s="31" t="s">
        <v>168</v>
      </c>
    </row>
    <row r="13" customFormat="false" ht="79.5" hidden="false" customHeight="true" outlineLevel="0" collapsed="false">
      <c r="B13" s="31" t="s">
        <v>169</v>
      </c>
      <c r="C13" s="31" t="s">
        <v>170</v>
      </c>
      <c r="D13" s="31" t="s">
        <v>171</v>
      </c>
    </row>
    <row r="14" customFormat="false" ht="79.5" hidden="false" customHeight="true" outlineLevel="0" collapsed="false">
      <c r="B14" s="31" t="s">
        <v>172</v>
      </c>
      <c r="C14" s="31" t="s">
        <v>173</v>
      </c>
      <c r="D14" s="30" t="s">
        <v>174</v>
      </c>
    </row>
    <row r="15" customFormat="false" ht="79.5" hidden="false" customHeight="true" outlineLevel="0" collapsed="false">
      <c r="B15" s="31" t="s">
        <v>175</v>
      </c>
      <c r="C15" s="31" t="s">
        <v>176</v>
      </c>
      <c r="D15" s="31" t="s">
        <v>177</v>
      </c>
    </row>
    <row r="17" customFormat="false" ht="60" hidden="false" customHeight="true" outlineLevel="0" collapsed="false">
      <c r="B17" s="34" t="s">
        <v>178</v>
      </c>
      <c r="C17" s="34"/>
      <c r="D17" s="34"/>
      <c r="E17" s="34"/>
      <c r="F17" s="34"/>
      <c r="G17" s="34"/>
      <c r="H17" s="34"/>
    </row>
  </sheetData>
  <mergeCells count="3">
    <mergeCell ref="B5:H5"/>
    <mergeCell ref="B7:H7"/>
    <mergeCell ref="B17: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22"/>
    <col collapsed="false" customWidth="true" hidden="false" outlineLevel="0" max="4" min="4" style="0" width="44"/>
    <col collapsed="false" customWidth="true" hidden="false" outlineLevel="0" max="5" min="5" style="0" width="30"/>
    <col collapsed="false" customWidth="true" hidden="false" outlineLevel="0" max="6" min="6" style="0" width="20"/>
    <col collapsed="false" customWidth="true" hidden="false" outlineLevel="0" max="7" min="7" style="0" width="40"/>
  </cols>
  <sheetData>
    <row r="2" customFormat="false" ht="19.7" hidden="false" customHeight="false" outlineLevel="0" collapsed="false">
      <c r="B2" s="11" t="s">
        <v>179</v>
      </c>
    </row>
    <row r="4" customFormat="false" ht="15" hidden="false" customHeight="false" outlineLevel="0" collapsed="false">
      <c r="A4" s="23" t="s">
        <v>47</v>
      </c>
      <c r="B4" s="13" t="s">
        <v>180</v>
      </c>
      <c r="C4" s="13" t="s">
        <v>181</v>
      </c>
      <c r="D4" s="13" t="s">
        <v>182</v>
      </c>
      <c r="E4" s="13" t="s">
        <v>183</v>
      </c>
      <c r="F4" s="13" t="s">
        <v>184</v>
      </c>
      <c r="G4" s="13" t="s">
        <v>185</v>
      </c>
    </row>
    <row r="5" customFormat="false" ht="54" hidden="false" customHeight="true" outlineLevel="0" collapsed="false">
      <c r="A5" s="24" t="n">
        <v>1</v>
      </c>
      <c r="B5" s="24" t="s">
        <v>186</v>
      </c>
      <c r="C5" s="25" t="s">
        <v>187</v>
      </c>
      <c r="D5" s="27" t="s">
        <v>188</v>
      </c>
      <c r="E5" s="26" t="s">
        <v>189</v>
      </c>
      <c r="F5" s="25" t="s">
        <v>190</v>
      </c>
      <c r="G5" s="26" t="s">
        <v>191</v>
      </c>
    </row>
    <row r="6" customFormat="false" ht="54" hidden="false" customHeight="true" outlineLevel="0" collapsed="false">
      <c r="A6" s="24" t="n">
        <v>2</v>
      </c>
      <c r="B6" s="24" t="s">
        <v>186</v>
      </c>
      <c r="C6" s="25" t="s">
        <v>192</v>
      </c>
      <c r="D6" s="26" t="s">
        <v>193</v>
      </c>
      <c r="E6" s="27" t="s">
        <v>194</v>
      </c>
      <c r="F6" s="25" t="s">
        <v>190</v>
      </c>
      <c r="G6" s="27" t="s">
        <v>195</v>
      </c>
    </row>
    <row r="7" customFormat="false" ht="54" hidden="false" customHeight="true" outlineLevel="0" collapsed="false">
      <c r="A7" s="28" t="n">
        <v>3</v>
      </c>
      <c r="B7" s="28" t="s">
        <v>196</v>
      </c>
      <c r="C7" s="29" t="s">
        <v>197</v>
      </c>
      <c r="D7" s="31" t="s">
        <v>198</v>
      </c>
      <c r="E7" s="31" t="s">
        <v>199</v>
      </c>
      <c r="F7" s="29" t="s">
        <v>190</v>
      </c>
      <c r="G7" s="31" t="s">
        <v>200</v>
      </c>
    </row>
    <row r="8" customFormat="false" ht="54" hidden="false" customHeight="true" outlineLevel="0" collapsed="false">
      <c r="A8" s="28" t="n">
        <v>4</v>
      </c>
      <c r="B8" s="28" t="s">
        <v>196</v>
      </c>
      <c r="C8" s="29" t="s">
        <v>201</v>
      </c>
      <c r="D8" s="31" t="s">
        <v>202</v>
      </c>
      <c r="E8" s="30" t="s">
        <v>203</v>
      </c>
      <c r="F8" s="29" t="s">
        <v>190</v>
      </c>
      <c r="G8" s="31" t="s">
        <v>204</v>
      </c>
    </row>
    <row r="9" customFormat="false" ht="54" hidden="false" customHeight="true" outlineLevel="0" collapsed="false">
      <c r="A9" s="28" t="n">
        <v>5</v>
      </c>
      <c r="B9" s="28" t="s">
        <v>196</v>
      </c>
      <c r="C9" s="29" t="s">
        <v>205</v>
      </c>
      <c r="D9" s="31" t="s">
        <v>206</v>
      </c>
      <c r="E9" s="31" t="s">
        <v>207</v>
      </c>
      <c r="F9" s="29" t="s">
        <v>190</v>
      </c>
      <c r="G9" s="31" t="s">
        <v>208</v>
      </c>
    </row>
    <row r="10" customFormat="false" ht="54" hidden="false" customHeight="true" outlineLevel="0" collapsed="false">
      <c r="A10" s="28" t="n">
        <v>6</v>
      </c>
      <c r="B10" s="28" t="s">
        <v>196</v>
      </c>
      <c r="C10" s="29" t="s">
        <v>209</v>
      </c>
      <c r="D10" s="31" t="s">
        <v>210</v>
      </c>
      <c r="E10" s="31" t="s">
        <v>211</v>
      </c>
      <c r="F10" s="29" t="s">
        <v>190</v>
      </c>
      <c r="G10" s="31" t="s">
        <v>212</v>
      </c>
    </row>
    <row r="11" customFormat="false" ht="54" hidden="false" customHeight="true" outlineLevel="0" collapsed="false">
      <c r="A11" s="28" t="n">
        <v>7</v>
      </c>
      <c r="B11" s="28" t="s">
        <v>196</v>
      </c>
      <c r="C11" s="29" t="s">
        <v>213</v>
      </c>
      <c r="D11" s="31" t="s">
        <v>214</v>
      </c>
      <c r="E11" s="30" t="s">
        <v>215</v>
      </c>
      <c r="F11" s="29" t="s">
        <v>190</v>
      </c>
      <c r="G11" s="31" t="s">
        <v>216</v>
      </c>
    </row>
    <row r="12" customFormat="false" ht="54" hidden="false" customHeight="true" outlineLevel="0" collapsed="false">
      <c r="A12" s="36" t="n">
        <v>8</v>
      </c>
      <c r="B12" s="36"/>
      <c r="C12" s="37" t="s">
        <v>217</v>
      </c>
      <c r="D12" s="38" t="s">
        <v>218</v>
      </c>
      <c r="E12" s="38" t="s">
        <v>219</v>
      </c>
      <c r="F12" s="37" t="s">
        <v>220</v>
      </c>
      <c r="G12" s="39"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0"/>
    <col collapsed="false" customWidth="true" hidden="false" outlineLevel="0" max="3" min="3" style="0" width="18"/>
    <col collapsed="false" customWidth="true" hidden="false" outlineLevel="0" max="4" min="4" style="0" width="16"/>
    <col collapsed="false" customWidth="true" hidden="false" outlineLevel="0" max="5" min="5" style="0" width="12"/>
    <col collapsed="false" customWidth="true" hidden="false" outlineLevel="0" max="6" min="6" style="0" width="34"/>
  </cols>
  <sheetData>
    <row r="2" customFormat="false" ht="23.85" hidden="false" customHeight="false" outlineLevel="0" collapsed="false">
      <c r="B2" s="1" t="s">
        <v>221</v>
      </c>
    </row>
    <row r="4" customFormat="false" ht="15" hidden="false" customHeight="false" outlineLevel="0" collapsed="false">
      <c r="B4" s="40" t="s">
        <v>222</v>
      </c>
    </row>
    <row r="6" customFormat="false" ht="26.85" hidden="false" customHeight="false" outlineLevel="0" collapsed="false">
      <c r="A6" s="13" t="s">
        <v>181</v>
      </c>
      <c r="B6" s="13" t="s">
        <v>223</v>
      </c>
      <c r="C6" s="23" t="s">
        <v>224</v>
      </c>
      <c r="D6" s="13" t="s">
        <v>225</v>
      </c>
      <c r="E6" s="13" t="s">
        <v>226</v>
      </c>
      <c r="F6" s="13" t="s">
        <v>55</v>
      </c>
    </row>
    <row r="7" customFormat="false" ht="31.5" hidden="false" customHeight="true" outlineLevel="0" collapsed="false">
      <c r="A7" s="27" t="s">
        <v>227</v>
      </c>
      <c r="B7" s="24" t="n">
        <v>3</v>
      </c>
      <c r="C7" s="36"/>
      <c r="D7" s="24" t="n">
        <f aca="false">B7-C7</f>
        <v>3</v>
      </c>
      <c r="E7" s="41" t="n">
        <f aca="false">IFERROR(D7/B7,"")</f>
        <v>1</v>
      </c>
      <c r="F7" s="27" t="s">
        <v>228</v>
      </c>
    </row>
    <row r="8" customFormat="false" ht="31.5" hidden="false" customHeight="true" outlineLevel="0" collapsed="false">
      <c r="A8" s="27" t="s">
        <v>229</v>
      </c>
      <c r="B8" s="24" t="n">
        <v>4</v>
      </c>
      <c r="C8" s="36"/>
      <c r="D8" s="24" t="n">
        <f aca="false">B8-C8</f>
        <v>4</v>
      </c>
      <c r="E8" s="41" t="n">
        <f aca="false">IFERROR(D8/B8,"")</f>
        <v>1</v>
      </c>
      <c r="F8" s="27" t="s">
        <v>228</v>
      </c>
    </row>
    <row r="9" customFormat="false" ht="31.5" hidden="false" customHeight="true" outlineLevel="0" collapsed="false">
      <c r="A9" s="27" t="s">
        <v>230</v>
      </c>
      <c r="B9" s="24" t="n">
        <v>1</v>
      </c>
      <c r="C9" s="36"/>
      <c r="D9" s="24" t="n">
        <f aca="false">B9-C9</f>
        <v>1</v>
      </c>
      <c r="E9" s="41" t="n">
        <f aca="false">IFERROR(D9/B9,"")</f>
        <v>1</v>
      </c>
      <c r="F9" s="27" t="s">
        <v>228</v>
      </c>
    </row>
    <row r="10" customFormat="false" ht="31.5" hidden="false" customHeight="true" outlineLevel="0" collapsed="false">
      <c r="A10" s="27" t="s">
        <v>231</v>
      </c>
      <c r="B10" s="24" t="n">
        <v>6</v>
      </c>
      <c r="C10" s="36"/>
      <c r="D10" s="24" t="n">
        <f aca="false">B10-C10</f>
        <v>6</v>
      </c>
      <c r="E10" s="41" t="n">
        <f aca="false">IFERROR(D10/B10,"")</f>
        <v>1</v>
      </c>
      <c r="F10" s="26" t="s">
        <v>232</v>
      </c>
    </row>
    <row r="11" customFormat="false" ht="31.5" hidden="false" customHeight="true" outlineLevel="0" collapsed="false">
      <c r="A11" s="27" t="s">
        <v>233</v>
      </c>
      <c r="B11" s="24" t="n">
        <v>2</v>
      </c>
      <c r="C11" s="36"/>
      <c r="D11" s="24" t="n">
        <f aca="false">B11-C11</f>
        <v>2</v>
      </c>
      <c r="E11" s="41" t="n">
        <f aca="false">IFERROR(D11/B11,"")</f>
        <v>1</v>
      </c>
      <c r="F11" s="27" t="s">
        <v>228</v>
      </c>
    </row>
    <row r="12" customFormat="false" ht="15" hidden="false" customHeight="false" outlineLevel="0" collapsed="false">
      <c r="A12" s="42" t="s">
        <v>234</v>
      </c>
      <c r="B12" s="42" t="n">
        <f aca="false">SUM(B7:B11)</f>
        <v>16</v>
      </c>
      <c r="C12" s="42" t="n">
        <f aca="false">SUM(C7:C11)</f>
        <v>0</v>
      </c>
      <c r="D12" s="42" t="n">
        <f aca="false">B12-C12</f>
        <v>16</v>
      </c>
      <c r="E12" s="43" t="n">
        <f aca="false">IFERROR(D12/B12,"")</f>
        <v>1</v>
      </c>
      <c r="F12" s="42"/>
    </row>
    <row r="15" customFormat="false" ht="60" hidden="false" customHeight="true" outlineLevel="0" collapsed="false">
      <c r="B15" s="12" t="s">
        <v>235</v>
      </c>
      <c r="C15" s="12"/>
      <c r="D15" s="12"/>
      <c r="E15" s="12"/>
      <c r="F15" s="12"/>
      <c r="G15" s="12"/>
    </row>
  </sheetData>
  <mergeCells count="1">
    <mergeCell ref="B15:G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2" customFormat="false" ht="19.7" hidden="false" customHeight="false" outlineLevel="0" collapsed="false">
      <c r="B2" s="11" t="s">
        <v>236</v>
      </c>
    </row>
    <row r="3" customFormat="false" ht="15" hidden="false" customHeight="false" outlineLevel="0" collapsed="false">
      <c r="B3" s="44" t="s">
        <v>237</v>
      </c>
    </row>
    <row r="5" customFormat="false" ht="60" hidden="false" customHeight="true" outlineLevel="0" collapsed="false">
      <c r="B5" s="12" t="s">
        <v>238</v>
      </c>
      <c r="C5" s="12"/>
      <c r="D5" s="12"/>
      <c r="E5" s="12"/>
      <c r="F5" s="12"/>
      <c r="G5" s="12"/>
      <c r="H5" s="12"/>
    </row>
    <row r="8" customFormat="false" ht="15" hidden="false" customHeight="false" outlineLevel="0" collapsed="false">
      <c r="B8" s="3" t="s">
        <v>239</v>
      </c>
    </row>
    <row r="9" customFormat="false" ht="15" hidden="false" customHeight="false" outlineLevel="0" collapsed="false">
      <c r="C9" s="6" t="s">
        <v>240</v>
      </c>
    </row>
    <row r="10" customFormat="false" ht="15" hidden="false" customHeight="false" outlineLevel="0" collapsed="false">
      <c r="C10" s="6" t="s">
        <v>241</v>
      </c>
    </row>
    <row r="11" customFormat="false" ht="15" hidden="false" customHeight="false" outlineLevel="0" collapsed="false">
      <c r="C11" s="6" t="s">
        <v>242</v>
      </c>
    </row>
  </sheetData>
  <mergeCells count="1">
    <mergeCell ref="B5:H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44"/>
    <col collapsed="false" customWidth="true" hidden="false" outlineLevel="0" max="4" min="4" style="0" width="30"/>
    <col collapsed="false" customWidth="true" hidden="false" outlineLevel="0" max="6" min="5" style="0" width="20"/>
  </cols>
  <sheetData>
    <row r="2" customFormat="false" ht="23.85" hidden="false" customHeight="false" outlineLevel="0" collapsed="false">
      <c r="B2" s="1" t="s">
        <v>243</v>
      </c>
    </row>
    <row r="4" customFormat="false" ht="19.4" hidden="false" customHeight="false" outlineLevel="0" collapsed="false">
      <c r="B4" s="45" t="s">
        <v>244</v>
      </c>
    </row>
    <row r="6" customFormat="false" ht="15" hidden="false" customHeight="false" outlineLevel="0" collapsed="false">
      <c r="B6" s="3" t="s">
        <v>245</v>
      </c>
    </row>
    <row r="7" customFormat="false" ht="15" hidden="false" customHeight="false" outlineLevel="0" collapsed="false">
      <c r="B7" s="13" t="s">
        <v>246</v>
      </c>
      <c r="C7" s="13" t="s">
        <v>247</v>
      </c>
    </row>
    <row r="8" customFormat="false" ht="30" hidden="false" customHeight="true" outlineLevel="0" collapsed="false">
      <c r="B8" s="27" t="s">
        <v>248</v>
      </c>
      <c r="C8" s="27" t="s">
        <v>249</v>
      </c>
    </row>
    <row r="9" customFormat="false" ht="30" hidden="false" customHeight="true" outlineLevel="0" collapsed="false">
      <c r="B9" s="27" t="s">
        <v>250</v>
      </c>
      <c r="C9" s="27" t="s">
        <v>251</v>
      </c>
    </row>
    <row r="10" customFormat="false" ht="30" hidden="false" customHeight="true" outlineLevel="0" collapsed="false">
      <c r="B10" s="27" t="s">
        <v>252</v>
      </c>
      <c r="C10" s="27" t="s">
        <v>253</v>
      </c>
    </row>
    <row r="11" customFormat="false" ht="30" hidden="false" customHeight="true" outlineLevel="0" collapsed="false">
      <c r="B11" s="27" t="s">
        <v>254</v>
      </c>
      <c r="C11" s="27" t="s">
        <v>255</v>
      </c>
    </row>
    <row r="13" customFormat="false" ht="15" hidden="false" customHeight="false" outlineLevel="0" collapsed="false">
      <c r="B13" s="3" t="s">
        <v>256</v>
      </c>
    </row>
    <row r="14" customFormat="false" ht="15" hidden="false" customHeight="false" outlineLevel="0" collapsed="false">
      <c r="B14" s="23" t="s">
        <v>257</v>
      </c>
      <c r="C14" s="13" t="s">
        <v>258</v>
      </c>
      <c r="D14" s="13" t="s">
        <v>259</v>
      </c>
    </row>
    <row r="15" customFormat="false" ht="25.5" hidden="false" customHeight="true" outlineLevel="0" collapsed="false">
      <c r="B15" s="27" t="s">
        <v>260</v>
      </c>
      <c r="C15" s="27" t="s">
        <v>261</v>
      </c>
    </row>
    <row r="16" customFormat="false" ht="25.5" hidden="false" customHeight="true" outlineLevel="0" collapsed="false">
      <c r="B16" s="27" t="s">
        <v>262</v>
      </c>
      <c r="C16" s="27" t="s">
        <v>263</v>
      </c>
    </row>
    <row r="17" customFormat="false" ht="25.5" hidden="false" customHeight="true" outlineLevel="0" collapsed="false">
      <c r="B17" s="27" t="s">
        <v>264</v>
      </c>
      <c r="C17" s="27" t="s">
        <v>265</v>
      </c>
    </row>
    <row r="18" customFormat="false" ht="25.5" hidden="false" customHeight="true" outlineLevel="0" collapsed="false">
      <c r="B18" s="27" t="s">
        <v>266</v>
      </c>
      <c r="C18" s="26" t="s">
        <v>267</v>
      </c>
    </row>
    <row r="19" customFormat="false" ht="25.5" hidden="false" customHeight="true" outlineLevel="0" collapsed="false">
      <c r="B19" s="27" t="s">
        <v>268</v>
      </c>
      <c r="C19" s="27" t="s">
        <v>269</v>
      </c>
    </row>
    <row r="20" customFormat="false" ht="25.5" hidden="false" customHeight="true" outlineLevel="0" collapsed="false">
      <c r="B20" s="27" t="s">
        <v>270</v>
      </c>
      <c r="C20" s="27" t="s">
        <v>271</v>
      </c>
    </row>
    <row r="21" customFormat="false" ht="15" hidden="false" customHeight="false" outlineLevel="0" collapsed="false">
      <c r="B21" s="46" t="s">
        <v>272</v>
      </c>
      <c r="C21" s="46"/>
      <c r="D21" s="46"/>
      <c r="E21" s="46"/>
    </row>
    <row r="23" customFormat="false" ht="15" hidden="false" customHeight="false" outlineLevel="0" collapsed="false">
      <c r="B23" s="3" t="s">
        <v>273</v>
      </c>
    </row>
    <row r="24" customFormat="false" ht="15" hidden="false" customHeight="false" outlineLevel="0" collapsed="false">
      <c r="B24" s="13" t="s">
        <v>274</v>
      </c>
      <c r="C24" s="13" t="s">
        <v>258</v>
      </c>
    </row>
    <row r="25" customFormat="false" ht="25.5" hidden="false" customHeight="true" outlineLevel="0" collapsed="false">
      <c r="B25" s="27" t="s">
        <v>275</v>
      </c>
      <c r="C25" s="27" t="s">
        <v>276</v>
      </c>
    </row>
    <row r="26" customFormat="false" ht="25.5" hidden="false" customHeight="true" outlineLevel="0" collapsed="false">
      <c r="B26" s="27" t="s">
        <v>277</v>
      </c>
      <c r="C26" s="27" t="s">
        <v>278</v>
      </c>
    </row>
    <row r="27" customFormat="false" ht="25.5" hidden="false" customHeight="true" outlineLevel="0" collapsed="false">
      <c r="B27" s="26" t="s">
        <v>279</v>
      </c>
      <c r="C27" s="27" t="s">
        <v>280</v>
      </c>
    </row>
    <row r="28" customFormat="false" ht="25.5" hidden="false" customHeight="true" outlineLevel="0" collapsed="false">
      <c r="B28" s="27" t="s">
        <v>281</v>
      </c>
      <c r="C28" s="27" t="s">
        <v>282</v>
      </c>
    </row>
    <row r="29" customFormat="false" ht="25.5" hidden="false" customHeight="true" outlineLevel="0" collapsed="false">
      <c r="B29" s="27" t="s">
        <v>283</v>
      </c>
      <c r="C29" s="27" t="s">
        <v>284</v>
      </c>
    </row>
    <row r="30" customFormat="false" ht="25.5" hidden="false" customHeight="true" outlineLevel="0" collapsed="false">
      <c r="B30" s="27" t="s">
        <v>285</v>
      </c>
      <c r="C30" s="26" t="s">
        <v>286</v>
      </c>
    </row>
    <row r="32" customFormat="false" ht="15" hidden="false" customHeight="false" outlineLevel="0" collapsed="false">
      <c r="B32" s="3" t="s">
        <v>287</v>
      </c>
    </row>
    <row r="33" customFormat="false" ht="60" hidden="false" customHeight="true" outlineLevel="0" collapsed="false">
      <c r="B33" s="12" t="s">
        <v>288</v>
      </c>
      <c r="C33" s="12"/>
      <c r="D33" s="12"/>
      <c r="E33" s="12"/>
      <c r="F33" s="12"/>
    </row>
  </sheetData>
  <mergeCells count="2">
    <mergeCell ref="B21:E21"/>
    <mergeCell ref="B33: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20"/>
    <col collapsed="false" customWidth="true" hidden="false" outlineLevel="0" max="4" min="4" style="0" width="22"/>
    <col collapsed="false" customWidth="true" hidden="false" outlineLevel="0" max="5" min="5" style="0" width="40"/>
  </cols>
  <sheetData>
    <row r="2" customFormat="false" ht="23.85" hidden="false" customHeight="false" outlineLevel="0" collapsed="false">
      <c r="B2" s="1" t="s">
        <v>289</v>
      </c>
    </row>
    <row r="4" customFormat="false" ht="45.75" hidden="false" customHeight="true" outlineLevel="0" collapsed="false">
      <c r="B4" s="12" t="s">
        <v>290</v>
      </c>
      <c r="C4" s="12"/>
      <c r="D4" s="12"/>
      <c r="E4" s="12"/>
      <c r="F4" s="12"/>
      <c r="G4" s="12"/>
      <c r="H4" s="12"/>
    </row>
    <row r="7" customFormat="false" ht="15" hidden="false" customHeight="false" outlineLevel="0" collapsed="false">
      <c r="B7" s="13" t="s">
        <v>291</v>
      </c>
      <c r="C7" s="23" t="s">
        <v>292</v>
      </c>
      <c r="D7" s="23" t="s">
        <v>293</v>
      </c>
      <c r="E7" s="13" t="s">
        <v>294</v>
      </c>
    </row>
    <row r="8" customFormat="false" ht="31.5" hidden="false" customHeight="true" outlineLevel="0" collapsed="false">
      <c r="B8" s="25" t="s">
        <v>295</v>
      </c>
      <c r="C8" s="24" t="s">
        <v>296</v>
      </c>
      <c r="D8" s="24" t="s">
        <v>297</v>
      </c>
      <c r="E8" s="27" t="s">
        <v>298</v>
      </c>
    </row>
    <row r="9" customFormat="false" ht="31.5" hidden="false" customHeight="true" outlineLevel="0" collapsed="false">
      <c r="B9" s="25" t="s">
        <v>299</v>
      </c>
      <c r="C9" s="24" t="s">
        <v>300</v>
      </c>
      <c r="D9" s="24" t="s">
        <v>301</v>
      </c>
      <c r="E9" s="27" t="s">
        <v>302</v>
      </c>
    </row>
    <row r="10" customFormat="false" ht="31.5" hidden="false" customHeight="true" outlineLevel="0" collapsed="false">
      <c r="B10" s="25" t="s">
        <v>303</v>
      </c>
      <c r="C10" s="25" t="s">
        <v>304</v>
      </c>
      <c r="D10" s="25" t="s">
        <v>305</v>
      </c>
      <c r="E10" s="27" t="s">
        <v>306</v>
      </c>
    </row>
    <row r="11" customFormat="false" ht="31.5" hidden="false" customHeight="true" outlineLevel="0" collapsed="false">
      <c r="B11" s="25" t="s">
        <v>307</v>
      </c>
      <c r="C11" s="25" t="s">
        <v>308</v>
      </c>
      <c r="D11" s="25" t="s">
        <v>309</v>
      </c>
      <c r="E11" s="26" t="s">
        <v>310</v>
      </c>
    </row>
    <row r="12" customFormat="false" ht="31.5" hidden="false" customHeight="true" outlineLevel="0" collapsed="false">
      <c r="B12" s="25" t="s">
        <v>311</v>
      </c>
      <c r="C12" s="24" t="s">
        <v>312</v>
      </c>
      <c r="D12" s="24" t="s">
        <v>313</v>
      </c>
      <c r="E12" s="27" t="s">
        <v>314</v>
      </c>
    </row>
    <row r="13" customFormat="false" ht="31.5" hidden="false" customHeight="true" outlineLevel="0" collapsed="false">
      <c r="B13" s="25" t="s">
        <v>315</v>
      </c>
      <c r="C13" s="24" t="s">
        <v>316</v>
      </c>
      <c r="D13" s="24" t="s">
        <v>317</v>
      </c>
      <c r="E13" s="26" t="s">
        <v>318</v>
      </c>
    </row>
    <row r="14" customFormat="false" ht="31.5" hidden="false" customHeight="true" outlineLevel="0" collapsed="false">
      <c r="B14" s="25" t="s">
        <v>319</v>
      </c>
      <c r="C14" s="25" t="s">
        <v>320</v>
      </c>
      <c r="D14" s="25" t="s">
        <v>321</v>
      </c>
      <c r="E14" s="26" t="s">
        <v>322</v>
      </c>
    </row>
    <row r="16" customFormat="false" ht="15" hidden="false" customHeight="false" outlineLevel="0" collapsed="false">
      <c r="B16" s="3" t="s">
        <v>323</v>
      </c>
    </row>
    <row r="17" customFormat="false" ht="15" hidden="false" customHeight="false" outlineLevel="0" collapsed="false">
      <c r="B17" s="13" t="s">
        <v>291</v>
      </c>
      <c r="C17" s="23" t="s">
        <v>324</v>
      </c>
      <c r="D17" s="23" t="s">
        <v>325</v>
      </c>
      <c r="E17" s="13" t="s">
        <v>326</v>
      </c>
    </row>
    <row r="18" customFormat="false" ht="25.5" hidden="false" customHeight="true" outlineLevel="0" collapsed="false">
      <c r="B18" s="24" t="s">
        <v>327</v>
      </c>
      <c r="C18" s="47" t="s">
        <v>328</v>
      </c>
      <c r="D18" s="24" t="s">
        <v>329</v>
      </c>
      <c r="E18" s="24" t="s">
        <v>330</v>
      </c>
    </row>
    <row r="19" customFormat="false" ht="25.5" hidden="false" customHeight="true" outlineLevel="0" collapsed="false">
      <c r="B19" s="24" t="s">
        <v>331</v>
      </c>
      <c r="C19" s="47" t="s">
        <v>328</v>
      </c>
      <c r="D19" s="24" t="s">
        <v>329</v>
      </c>
      <c r="E19" s="24" t="s">
        <v>330</v>
      </c>
    </row>
    <row r="20" customFormat="false" ht="25.5" hidden="false" customHeight="true" outlineLevel="0" collapsed="false">
      <c r="B20" s="24" t="s">
        <v>332</v>
      </c>
      <c r="C20" s="47" t="s">
        <v>328</v>
      </c>
      <c r="D20" s="24" t="s">
        <v>329</v>
      </c>
      <c r="E20" s="24" t="s">
        <v>330</v>
      </c>
    </row>
    <row r="21" customFormat="false" ht="60" hidden="false" customHeight="true" outlineLevel="0" collapsed="false">
      <c r="B21" s="12" t="s">
        <v>333</v>
      </c>
      <c r="C21" s="12"/>
      <c r="D21" s="12"/>
      <c r="E21" s="12"/>
      <c r="F21" s="12"/>
      <c r="G21" s="12"/>
      <c r="H21" s="12"/>
    </row>
    <row r="23" customFormat="false" ht="15" hidden="false" customHeight="false" outlineLevel="0" collapsed="false">
      <c r="B23" s="3" t="s">
        <v>334</v>
      </c>
    </row>
    <row r="24" customFormat="false" ht="60" hidden="false" customHeight="true" outlineLevel="0" collapsed="false">
      <c r="B24" s="12" t="s">
        <v>335</v>
      </c>
      <c r="C24" s="12"/>
      <c r="D24" s="12"/>
      <c r="E24" s="12"/>
      <c r="F24" s="12"/>
      <c r="G24" s="12"/>
      <c r="H24" s="12"/>
    </row>
  </sheetData>
  <mergeCells count="3">
    <mergeCell ref="B4:H4"/>
    <mergeCell ref="B21:H21"/>
    <mergeCell ref="B24: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6"/>
    <col collapsed="false" customWidth="true" hidden="false" outlineLevel="0" max="3" min="3" style="0" width="70"/>
    <col collapsed="false" customWidth="true" hidden="false" outlineLevel="0" max="6" min="4" style="0" width="10"/>
  </cols>
  <sheetData>
    <row r="2" customFormat="false" ht="23.85" hidden="false" customHeight="false" outlineLevel="0" collapsed="false">
      <c r="B2" s="1" t="s">
        <v>336</v>
      </c>
    </row>
    <row r="4" customFormat="false" ht="19.4" hidden="false" customHeight="false" outlineLevel="0" collapsed="false">
      <c r="B4" s="2" t="s">
        <v>337</v>
      </c>
    </row>
    <row r="6" customFormat="false" ht="19.5" hidden="false" customHeight="true" outlineLevel="0" collapsed="false">
      <c r="B6" s="48" t="s">
        <v>338</v>
      </c>
      <c r="C6" s="48"/>
      <c r="D6" s="48"/>
      <c r="E6" s="48"/>
      <c r="F6" s="48"/>
    </row>
    <row r="7" customFormat="false" ht="19.5" hidden="false" customHeight="true" outlineLevel="0" collapsed="false">
      <c r="C7" s="5" t="s">
        <v>339</v>
      </c>
    </row>
    <row r="8" customFormat="false" ht="19.5" hidden="false" customHeight="true" outlineLevel="0" collapsed="false">
      <c r="C8" s="5" t="s">
        <v>340</v>
      </c>
    </row>
    <row r="9" customFormat="false" ht="19.5" hidden="false" customHeight="true" outlineLevel="0" collapsed="false"/>
    <row r="10" customFormat="false" ht="19.5" hidden="false" customHeight="true" outlineLevel="0" collapsed="false">
      <c r="B10" s="48" t="s">
        <v>341</v>
      </c>
      <c r="C10" s="48"/>
      <c r="D10" s="48"/>
      <c r="E10" s="48"/>
      <c r="F10" s="48"/>
    </row>
    <row r="11" customFormat="false" ht="19.5" hidden="false" customHeight="true" outlineLevel="0" collapsed="false">
      <c r="C11" s="5" t="s">
        <v>342</v>
      </c>
    </row>
    <row r="12" customFormat="false" ht="19.5" hidden="false" customHeight="true" outlineLevel="0" collapsed="false">
      <c r="C12" s="5" t="s">
        <v>343</v>
      </c>
    </row>
    <row r="13" customFormat="false" ht="19.5" hidden="false" customHeight="true" outlineLevel="0" collapsed="false"/>
    <row r="14" customFormat="false" ht="19.5" hidden="false" customHeight="true" outlineLevel="0" collapsed="false">
      <c r="B14" s="49" t="s">
        <v>344</v>
      </c>
      <c r="C14" s="49"/>
      <c r="D14" s="49"/>
      <c r="E14" s="49"/>
      <c r="F14" s="49"/>
    </row>
    <row r="15" customFormat="false" ht="19.5" hidden="false" customHeight="true" outlineLevel="0" collapsed="false">
      <c r="C15" s="5" t="s">
        <v>345</v>
      </c>
    </row>
    <row r="16" customFormat="false" ht="19.5" hidden="false" customHeight="true" outlineLevel="0" collapsed="false">
      <c r="C16" s="5" t="s">
        <v>346</v>
      </c>
    </row>
    <row r="17" customFormat="false" ht="19.5" hidden="false" customHeight="true" outlineLevel="0" collapsed="false">
      <c r="C17" s="5" t="s">
        <v>347</v>
      </c>
    </row>
    <row r="18" customFormat="false" ht="19.5" hidden="false" customHeight="true" outlineLevel="0" collapsed="false">
      <c r="C18" s="5" t="s">
        <v>348</v>
      </c>
    </row>
    <row r="19" customFormat="false" ht="19.5" hidden="false" customHeight="true" outlineLevel="0" collapsed="false">
      <c r="C19" s="5" t="s">
        <v>349</v>
      </c>
    </row>
    <row r="20" customFormat="false" ht="19.5" hidden="false" customHeight="true" outlineLevel="0" collapsed="false"/>
    <row r="21" customFormat="false" ht="19.5" hidden="false" customHeight="true" outlineLevel="0" collapsed="false">
      <c r="B21" s="49" t="s">
        <v>350</v>
      </c>
      <c r="C21" s="49"/>
      <c r="D21" s="49"/>
      <c r="E21" s="49"/>
      <c r="F21" s="49"/>
    </row>
    <row r="22" customFormat="false" ht="19.5" hidden="false" customHeight="true" outlineLevel="0" collapsed="false">
      <c r="C22" s="5" t="s">
        <v>351</v>
      </c>
    </row>
    <row r="23" customFormat="false" ht="19.5" hidden="false" customHeight="true" outlineLevel="0" collapsed="false">
      <c r="C23" s="5" t="s">
        <v>352</v>
      </c>
    </row>
    <row r="24" customFormat="false" ht="19.5" hidden="false" customHeight="true" outlineLevel="0" collapsed="false">
      <c r="C24" s="5" t="s">
        <v>353</v>
      </c>
    </row>
    <row r="25" customFormat="false" ht="19.5" hidden="false" customHeight="true" outlineLevel="0" collapsed="false">
      <c r="C25" s="5" t="s">
        <v>354</v>
      </c>
    </row>
    <row r="26" customFormat="false" ht="19.5" hidden="false" customHeight="true" outlineLevel="0" collapsed="false">
      <c r="C26" s="5" t="s">
        <v>355</v>
      </c>
    </row>
    <row r="27" customFormat="false" ht="19.5" hidden="false" customHeight="true" outlineLevel="0" collapsed="false">
      <c r="C27" s="5" t="s">
        <v>356</v>
      </c>
    </row>
    <row r="28" customFormat="false" ht="19.5" hidden="false" customHeight="true" outlineLevel="0" collapsed="false"/>
    <row r="29" customFormat="false" ht="19.5" hidden="false" customHeight="true" outlineLevel="0" collapsed="false">
      <c r="B29" s="49" t="s">
        <v>357</v>
      </c>
      <c r="C29" s="49"/>
      <c r="D29" s="49"/>
      <c r="E29" s="49"/>
      <c r="F29" s="49"/>
    </row>
    <row r="30" customFormat="false" ht="19.5" hidden="false" customHeight="true" outlineLevel="0" collapsed="false">
      <c r="C30" s="5" t="s">
        <v>358</v>
      </c>
    </row>
    <row r="31" customFormat="false" ht="19.5" hidden="false" customHeight="true" outlineLevel="0" collapsed="false">
      <c r="C31" s="5" t="s">
        <v>359</v>
      </c>
    </row>
    <row r="32" customFormat="false" ht="19.5" hidden="false" customHeight="true" outlineLevel="0" collapsed="false">
      <c r="C32" s="5" t="s">
        <v>360</v>
      </c>
    </row>
    <row r="33" customFormat="false" ht="19.5" hidden="false" customHeight="true" outlineLevel="0" collapsed="false"/>
    <row r="34" customFormat="false" ht="19.5" hidden="false" customHeight="true" outlineLevel="0" collapsed="false">
      <c r="B34" s="49" t="s">
        <v>361</v>
      </c>
      <c r="C34" s="49"/>
      <c r="D34" s="49"/>
      <c r="E34" s="49"/>
      <c r="F34" s="49"/>
    </row>
    <row r="35" customFormat="false" ht="19.5" hidden="false" customHeight="true" outlineLevel="0" collapsed="false">
      <c r="C35" s="5" t="s">
        <v>362</v>
      </c>
    </row>
    <row r="36" customFormat="false" ht="19.5" hidden="false" customHeight="true" outlineLevel="0" collapsed="false">
      <c r="C36" s="5" t="s">
        <v>363</v>
      </c>
    </row>
    <row r="37" customFormat="false" ht="19.5" hidden="false" customHeight="true" outlineLevel="0" collapsed="false">
      <c r="C37" s="5" t="s">
        <v>364</v>
      </c>
    </row>
    <row r="38" customFormat="false" ht="19.5" hidden="false" customHeight="true" outlineLevel="0" collapsed="false">
      <c r="C38" s="5" t="s">
        <v>365</v>
      </c>
    </row>
    <row r="39" customFormat="false" ht="19.5" hidden="false" customHeight="true" outlineLevel="0" collapsed="false"/>
    <row r="40" customFormat="false" ht="19.5" hidden="false" customHeight="true" outlineLevel="0" collapsed="false">
      <c r="B40" s="49" t="s">
        <v>366</v>
      </c>
      <c r="C40" s="49"/>
      <c r="D40" s="49"/>
      <c r="E40" s="49"/>
      <c r="F40" s="49"/>
    </row>
    <row r="41" customFormat="false" ht="19.5" hidden="false" customHeight="true" outlineLevel="0" collapsed="false">
      <c r="C41" s="5" t="s">
        <v>367</v>
      </c>
    </row>
    <row r="42" customFormat="false" ht="19.5" hidden="false" customHeight="true" outlineLevel="0" collapsed="false"/>
    <row r="43" customFormat="false" ht="19.5" hidden="false" customHeight="true" outlineLevel="0" collapsed="false">
      <c r="B43" s="48" t="s">
        <v>368</v>
      </c>
      <c r="C43" s="48"/>
      <c r="D43" s="48"/>
      <c r="E43" s="48"/>
      <c r="F43" s="48"/>
    </row>
    <row r="44" customFormat="false" ht="19.5" hidden="false" customHeight="true" outlineLevel="0" collapsed="false">
      <c r="C44" s="5" t="s">
        <v>369</v>
      </c>
    </row>
    <row r="45" customFormat="false" ht="19.5" hidden="false" customHeight="true" outlineLevel="0" collapsed="false">
      <c r="C45" s="5" t="s">
        <v>370</v>
      </c>
    </row>
    <row r="46" customFormat="false" ht="19.5" hidden="false" customHeight="true" outlineLevel="0" collapsed="false"/>
  </sheetData>
  <mergeCells count="8">
    <mergeCell ref="B6:F6"/>
    <mergeCell ref="B10:F10"/>
    <mergeCell ref="B14:F14"/>
    <mergeCell ref="B21:F21"/>
    <mergeCell ref="B29:F29"/>
    <mergeCell ref="B34:F34"/>
    <mergeCell ref="B40:F40"/>
    <mergeCell ref="B43:F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2026-07-23T02:18:28Z</dcterms:created>
  <dc:creator>openpyxl</dc:creator>
  <dc:description/>
  <dc:language>en-US</dc:language>
  <cp:lastModifiedBy/>
  <dcterms:modified xsi:type="dcterms:W3CDTF">2026-07-23T02:18:28Z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